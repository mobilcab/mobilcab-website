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E789090-973D-441F-B9CA-86E5BDF5A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 here" sheetId="1" r:id="rId1"/>
    <sheet name="Weekly plan" sheetId="2" r:id="rId2"/>
    <sheet name="Tasks" sheetId="3" r:id="rId3"/>
    <sheet name="Weekly numbers" sheetId="4" r:id="rId4"/>
    <sheet name="Website steps" sheetId="5" r:id="rId5"/>
    <sheet name="Deadlines" sheetId="6" r:id="rId6"/>
    <sheet name="Content bank" sheetId="7" r:id="rId7"/>
    <sheet name="Routin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6" i="3" l="1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O56" i="2"/>
  <c r="N56" i="2"/>
  <c r="C56" i="2"/>
  <c r="B235" i="3" s="1"/>
  <c r="B56" i="2"/>
  <c r="O55" i="2"/>
  <c r="N55" i="2"/>
  <c r="C55" i="2"/>
  <c r="B229" i="3" s="1"/>
  <c r="B55" i="2"/>
  <c r="O54" i="2"/>
  <c r="N54" i="2"/>
  <c r="C54" i="2"/>
  <c r="B228" i="3" s="1"/>
  <c r="B54" i="2"/>
  <c r="O53" i="2"/>
  <c r="N53" i="2"/>
  <c r="C53" i="2"/>
  <c r="B223" i="3" s="1"/>
  <c r="B53" i="2"/>
  <c r="O52" i="2"/>
  <c r="N52" i="2"/>
  <c r="C52" i="2"/>
  <c r="B217" i="3" s="1"/>
  <c r="B52" i="2"/>
  <c r="O51" i="2"/>
  <c r="P51" i="2" s="1"/>
  <c r="N51" i="2"/>
  <c r="C51" i="2"/>
  <c r="B215" i="3" s="1"/>
  <c r="B51" i="2"/>
  <c r="O50" i="2"/>
  <c r="P50" i="2" s="1"/>
  <c r="N50" i="2"/>
  <c r="C50" i="2"/>
  <c r="B211" i="3" s="1"/>
  <c r="B50" i="2"/>
  <c r="P49" i="2"/>
  <c r="O49" i="2"/>
  <c r="N49" i="2"/>
  <c r="C49" i="2"/>
  <c r="B50" i="4" s="1"/>
  <c r="B49" i="2"/>
  <c r="O48" i="2"/>
  <c r="P48" i="2" s="1"/>
  <c r="N48" i="2"/>
  <c r="C48" i="2"/>
  <c r="B199" i="3" s="1"/>
  <c r="B48" i="2"/>
  <c r="O47" i="2"/>
  <c r="N47" i="2"/>
  <c r="C47" i="2"/>
  <c r="B193" i="3" s="1"/>
  <c r="B47" i="2"/>
  <c r="P46" i="2"/>
  <c r="O46" i="2"/>
  <c r="N46" i="2"/>
  <c r="C46" i="2"/>
  <c r="B192" i="3" s="1"/>
  <c r="B46" i="2"/>
  <c r="O45" i="2"/>
  <c r="N45" i="2"/>
  <c r="C45" i="2"/>
  <c r="B187" i="3" s="1"/>
  <c r="B45" i="2"/>
  <c r="O44" i="2"/>
  <c r="N44" i="2"/>
  <c r="C44" i="2"/>
  <c r="B181" i="3" s="1"/>
  <c r="B44" i="2"/>
  <c r="O43" i="2"/>
  <c r="P43" i="2" s="1"/>
  <c r="N43" i="2"/>
  <c r="C43" i="2"/>
  <c r="B175" i="3" s="1"/>
  <c r="B43" i="2"/>
  <c r="O42" i="2"/>
  <c r="P42" i="2" s="1"/>
  <c r="N42" i="2"/>
  <c r="C42" i="2"/>
  <c r="B174" i="3" s="1"/>
  <c r="B42" i="2"/>
  <c r="O41" i="2"/>
  <c r="P41" i="2" s="1"/>
  <c r="N41" i="2"/>
  <c r="C41" i="2"/>
  <c r="B169" i="3" s="1"/>
  <c r="B41" i="2"/>
  <c r="O40" i="2"/>
  <c r="P40" i="2" s="1"/>
  <c r="N40" i="2"/>
  <c r="C40" i="2"/>
  <c r="B163" i="3" s="1"/>
  <c r="B40" i="2"/>
  <c r="O39" i="2"/>
  <c r="P39" i="2" s="1"/>
  <c r="N39" i="2"/>
  <c r="C39" i="2"/>
  <c r="B162" i="3" s="1"/>
  <c r="B39" i="2"/>
  <c r="P38" i="2"/>
  <c r="O38" i="2"/>
  <c r="N38" i="2"/>
  <c r="C38" i="2"/>
  <c r="B157" i="3" s="1"/>
  <c r="B38" i="2"/>
  <c r="O37" i="2"/>
  <c r="N37" i="2"/>
  <c r="P37" i="2" s="1"/>
  <c r="C37" i="2"/>
  <c r="B38" i="4" s="1"/>
  <c r="B37" i="2"/>
  <c r="O36" i="2"/>
  <c r="N36" i="2"/>
  <c r="C36" i="2"/>
  <c r="B37" i="4" s="1"/>
  <c r="B36" i="2"/>
  <c r="O35" i="2"/>
  <c r="P35" i="2" s="1"/>
  <c r="N35" i="2"/>
  <c r="C35" i="2"/>
  <c r="B145" i="3" s="1"/>
  <c r="B35" i="2"/>
  <c r="O34" i="2"/>
  <c r="P34" i="2" s="1"/>
  <c r="N34" i="2"/>
  <c r="C34" i="2"/>
  <c r="B139" i="3" s="1"/>
  <c r="B34" i="2"/>
  <c r="O33" i="2"/>
  <c r="N33" i="2"/>
  <c r="P33" i="2" s="1"/>
  <c r="C33" i="2"/>
  <c r="B34" i="4" s="1"/>
  <c r="B33" i="2"/>
  <c r="O32" i="2"/>
  <c r="N32" i="2"/>
  <c r="C32" i="2"/>
  <c r="B133" i="3" s="1"/>
  <c r="B32" i="2"/>
  <c r="O31" i="2"/>
  <c r="P31" i="2" s="1"/>
  <c r="N31" i="2"/>
  <c r="C31" i="2"/>
  <c r="B127" i="3" s="1"/>
  <c r="B31" i="2"/>
  <c r="O30" i="2"/>
  <c r="N30" i="2"/>
  <c r="C30" i="2"/>
  <c r="B121" i="3" s="1"/>
  <c r="B30" i="2"/>
  <c r="P29" i="2"/>
  <c r="O29" i="2"/>
  <c r="N29" i="2"/>
  <c r="C29" i="2"/>
  <c r="B115" i="3" s="1"/>
  <c r="B29" i="2"/>
  <c r="O28" i="2"/>
  <c r="P28" i="2" s="1"/>
  <c r="N28" i="2"/>
  <c r="C28" i="2"/>
  <c r="B109" i="3" s="1"/>
  <c r="B28" i="2"/>
  <c r="O27" i="2"/>
  <c r="P27" i="2" s="1"/>
  <c r="N27" i="2"/>
  <c r="C27" i="2"/>
  <c r="B13" i="6" s="1"/>
  <c r="B27" i="2"/>
  <c r="O26" i="2"/>
  <c r="N26" i="2"/>
  <c r="C26" i="2"/>
  <c r="B11" i="6" s="1"/>
  <c r="B26" i="2"/>
  <c r="P25" i="2"/>
  <c r="O25" i="2"/>
  <c r="N25" i="2"/>
  <c r="C25" i="2"/>
  <c r="B26" i="4" s="1"/>
  <c r="B25" i="2"/>
  <c r="O24" i="2"/>
  <c r="N24" i="2"/>
  <c r="C24" i="2"/>
  <c r="B9" i="5" s="1"/>
  <c r="B24" i="2"/>
  <c r="O23" i="2"/>
  <c r="N23" i="2"/>
  <c r="P23" i="2" s="1"/>
  <c r="C23" i="2"/>
  <c r="B85" i="3" s="1"/>
  <c r="B23" i="2"/>
  <c r="O22" i="2"/>
  <c r="P22" i="2" s="1"/>
  <c r="N22" i="2"/>
  <c r="C22" i="2"/>
  <c r="B8" i="5" s="1"/>
  <c r="B22" i="2"/>
  <c r="O21" i="2"/>
  <c r="N21" i="2"/>
  <c r="C21" i="2"/>
  <c r="B79" i="3" s="1"/>
  <c r="B21" i="2"/>
  <c r="O20" i="2"/>
  <c r="N20" i="2"/>
  <c r="P20" i="2" s="1"/>
  <c r="C20" i="2"/>
  <c r="B73" i="3" s="1"/>
  <c r="B20" i="2"/>
  <c r="O19" i="2"/>
  <c r="P19" i="2" s="1"/>
  <c r="N19" i="2"/>
  <c r="C19" i="2"/>
  <c r="B67" i="3" s="1"/>
  <c r="B19" i="2"/>
  <c r="O18" i="2"/>
  <c r="P18" i="2" s="1"/>
  <c r="N18" i="2"/>
  <c r="C18" i="2"/>
  <c r="B61" i="3" s="1"/>
  <c r="B18" i="2"/>
  <c r="O17" i="2"/>
  <c r="N17" i="2"/>
  <c r="P17" i="2" s="1"/>
  <c r="C17" i="2"/>
  <c r="B55" i="3" s="1"/>
  <c r="B17" i="2"/>
  <c r="O16" i="2"/>
  <c r="N16" i="2"/>
  <c r="C16" i="2"/>
  <c r="B54" i="3" s="1"/>
  <c r="B16" i="2"/>
  <c r="O15" i="2"/>
  <c r="N15" i="2"/>
  <c r="C15" i="2"/>
  <c r="B49" i="3" s="1"/>
  <c r="B15" i="2"/>
  <c r="O14" i="2"/>
  <c r="P14" i="2" s="1"/>
  <c r="N14" i="2"/>
  <c r="C14" i="2"/>
  <c r="B47" i="3" s="1"/>
  <c r="B14" i="2"/>
  <c r="O13" i="2"/>
  <c r="N13" i="2"/>
  <c r="P13" i="2" s="1"/>
  <c r="C13" i="2"/>
  <c r="B14" i="4" s="1"/>
  <c r="B13" i="2"/>
  <c r="O12" i="2"/>
  <c r="N12" i="2"/>
  <c r="P12" i="2" s="1"/>
  <c r="C12" i="2"/>
  <c r="B37" i="3" s="1"/>
  <c r="B12" i="2"/>
  <c r="O11" i="2"/>
  <c r="N11" i="2"/>
  <c r="P11" i="2" s="1"/>
  <c r="C11" i="2"/>
  <c r="B31" i="3" s="1"/>
  <c r="B11" i="2"/>
  <c r="O10" i="2"/>
  <c r="P10" i="2" s="1"/>
  <c r="N10" i="2"/>
  <c r="C10" i="2"/>
  <c r="B30" i="3" s="1"/>
  <c r="B10" i="2"/>
  <c r="O9" i="2"/>
  <c r="N9" i="2"/>
  <c r="P9" i="2" s="1"/>
  <c r="C9" i="2"/>
  <c r="B25" i="3" s="1"/>
  <c r="B9" i="2"/>
  <c r="O8" i="2"/>
  <c r="N8" i="2"/>
  <c r="C8" i="2"/>
  <c r="B19" i="3" s="1"/>
  <c r="B8" i="2"/>
  <c r="O7" i="2"/>
  <c r="P7" i="2" s="1"/>
  <c r="N7" i="2"/>
  <c r="C7" i="2"/>
  <c r="B17" i="3" s="1"/>
  <c r="B7" i="2"/>
  <c r="O6" i="2"/>
  <c r="P6" i="2" s="1"/>
  <c r="N6" i="2"/>
  <c r="C6" i="2"/>
  <c r="B13" i="3" s="1"/>
  <c r="B6" i="2"/>
  <c r="O5" i="2"/>
  <c r="P5" i="2" s="1"/>
  <c r="N5" i="2"/>
  <c r="C5" i="2"/>
  <c r="B7" i="3" s="1"/>
  <c r="B5" i="2"/>
  <c r="C8" i="1"/>
  <c r="P15" i="2" l="1"/>
  <c r="P32" i="2"/>
  <c r="P21" i="2"/>
  <c r="P52" i="2"/>
  <c r="P55" i="2"/>
  <c r="P24" i="2"/>
  <c r="P44" i="2"/>
  <c r="P47" i="2"/>
  <c r="P8" i="2"/>
  <c r="P16" i="2"/>
  <c r="P30" i="2"/>
  <c r="P36" i="2"/>
  <c r="P53" i="2"/>
  <c r="P56" i="2"/>
  <c r="P45" i="2"/>
  <c r="P54" i="2"/>
  <c r="P26" i="2"/>
  <c r="B57" i="4"/>
  <c r="B15" i="4"/>
  <c r="B27" i="4"/>
  <c r="B39" i="4"/>
  <c r="B51" i="4"/>
  <c r="B10" i="5"/>
  <c r="B8" i="3"/>
  <c r="B14" i="3"/>
  <c r="B20" i="3"/>
  <c r="B26" i="3"/>
  <c r="B32" i="3"/>
  <c r="B38" i="3"/>
  <c r="B44" i="3"/>
  <c r="B50" i="3"/>
  <c r="B56" i="3"/>
  <c r="B62" i="3"/>
  <c r="B68" i="3"/>
  <c r="B74" i="3"/>
  <c r="B80" i="3"/>
  <c r="B86" i="3"/>
  <c r="B92" i="3"/>
  <c r="B98" i="3"/>
  <c r="B104" i="3"/>
  <c r="B110" i="3"/>
  <c r="B116" i="3"/>
  <c r="B122" i="3"/>
  <c r="B128" i="3"/>
  <c r="B134" i="3"/>
  <c r="B140" i="3"/>
  <c r="B146" i="3"/>
  <c r="B152" i="3"/>
  <c r="B158" i="3"/>
  <c r="B164" i="3"/>
  <c r="B170" i="3"/>
  <c r="B176" i="3"/>
  <c r="B182" i="3"/>
  <c r="B188" i="3"/>
  <c r="B194" i="3"/>
  <c r="B200" i="3"/>
  <c r="B206" i="3"/>
  <c r="B212" i="3"/>
  <c r="B218" i="3"/>
  <c r="B224" i="3"/>
  <c r="B230" i="3"/>
  <c r="B236" i="3"/>
  <c r="B16" i="4"/>
  <c r="B28" i="4"/>
  <c r="B40" i="4"/>
  <c r="B52" i="4"/>
  <c r="B11" i="5"/>
  <c r="B17" i="4"/>
  <c r="B29" i="4"/>
  <c r="B41" i="4"/>
  <c r="B53" i="4"/>
  <c r="B12" i="5"/>
  <c r="B9" i="3"/>
  <c r="B15" i="3"/>
  <c r="B21" i="3"/>
  <c r="B27" i="3"/>
  <c r="B33" i="3"/>
  <c r="B39" i="3"/>
  <c r="B45" i="3"/>
  <c r="B51" i="3"/>
  <c r="B57" i="3"/>
  <c r="B63" i="3"/>
  <c r="B69" i="3"/>
  <c r="B75" i="3"/>
  <c r="B81" i="3"/>
  <c r="B87" i="3"/>
  <c r="B93" i="3"/>
  <c r="B99" i="3"/>
  <c r="B105" i="3"/>
  <c r="B111" i="3"/>
  <c r="B117" i="3"/>
  <c r="B123" i="3"/>
  <c r="B129" i="3"/>
  <c r="B135" i="3"/>
  <c r="B141" i="3"/>
  <c r="B147" i="3"/>
  <c r="B153" i="3"/>
  <c r="B159" i="3"/>
  <c r="B165" i="3"/>
  <c r="B171" i="3"/>
  <c r="B177" i="3"/>
  <c r="B183" i="3"/>
  <c r="B189" i="3"/>
  <c r="B195" i="3"/>
  <c r="B201" i="3"/>
  <c r="B207" i="3"/>
  <c r="B213" i="3"/>
  <c r="B219" i="3"/>
  <c r="B225" i="3"/>
  <c r="B231" i="3"/>
  <c r="B6" i="4"/>
  <c r="B18" i="4"/>
  <c r="B30" i="4"/>
  <c r="B42" i="4"/>
  <c r="B54" i="4"/>
  <c r="B5" i="6"/>
  <c r="B7" i="4"/>
  <c r="B19" i="4"/>
  <c r="B31" i="4"/>
  <c r="B43" i="4"/>
  <c r="B55" i="4"/>
  <c r="B6" i="6"/>
  <c r="B10" i="3"/>
  <c r="B16" i="3"/>
  <c r="B22" i="3"/>
  <c r="B28" i="3"/>
  <c r="B34" i="3"/>
  <c r="B40" i="3"/>
  <c r="B46" i="3"/>
  <c r="B52" i="3"/>
  <c r="B58" i="3"/>
  <c r="B64" i="3"/>
  <c r="B70" i="3"/>
  <c r="B76" i="3"/>
  <c r="B82" i="3"/>
  <c r="B88" i="3"/>
  <c r="B94" i="3"/>
  <c r="B100" i="3"/>
  <c r="B106" i="3"/>
  <c r="B112" i="3"/>
  <c r="B118" i="3"/>
  <c r="B124" i="3"/>
  <c r="B130" i="3"/>
  <c r="B136" i="3"/>
  <c r="B142" i="3"/>
  <c r="B148" i="3"/>
  <c r="B154" i="3"/>
  <c r="B160" i="3"/>
  <c r="B166" i="3"/>
  <c r="B172" i="3"/>
  <c r="B178" i="3"/>
  <c r="B184" i="3"/>
  <c r="B190" i="3"/>
  <c r="B196" i="3"/>
  <c r="B202" i="3"/>
  <c r="B208" i="3"/>
  <c r="B214" i="3"/>
  <c r="B220" i="3"/>
  <c r="B226" i="3"/>
  <c r="B232" i="3"/>
  <c r="B8" i="4"/>
  <c r="B20" i="4"/>
  <c r="B32" i="4"/>
  <c r="B44" i="4"/>
  <c r="B56" i="4"/>
  <c r="B7" i="6"/>
  <c r="B9" i="4"/>
  <c r="B21" i="4"/>
  <c r="B33" i="4"/>
  <c r="B45" i="4"/>
  <c r="B8" i="6"/>
  <c r="B5" i="3"/>
  <c r="B11" i="3"/>
  <c r="B23" i="3"/>
  <c r="B29" i="3"/>
  <c r="B35" i="3"/>
  <c r="B41" i="3"/>
  <c r="B53" i="3"/>
  <c r="B59" i="3"/>
  <c r="B65" i="3"/>
  <c r="B71" i="3"/>
  <c r="B77" i="3"/>
  <c r="B83" i="3"/>
  <c r="B89" i="3"/>
  <c r="B95" i="3"/>
  <c r="B101" i="3"/>
  <c r="B107" i="3"/>
  <c r="B113" i="3"/>
  <c r="B119" i="3"/>
  <c r="B125" i="3"/>
  <c r="B131" i="3"/>
  <c r="B137" i="3"/>
  <c r="B143" i="3"/>
  <c r="B149" i="3"/>
  <c r="B155" i="3"/>
  <c r="B161" i="3"/>
  <c r="B167" i="3"/>
  <c r="B173" i="3"/>
  <c r="B179" i="3"/>
  <c r="B185" i="3"/>
  <c r="B191" i="3"/>
  <c r="B197" i="3"/>
  <c r="B203" i="3"/>
  <c r="B209" i="3"/>
  <c r="B221" i="3"/>
  <c r="B227" i="3"/>
  <c r="B233" i="3"/>
  <c r="B10" i="4"/>
  <c r="B22" i="4"/>
  <c r="B46" i="4"/>
  <c r="B5" i="5"/>
  <c r="B9" i="6"/>
  <c r="B11" i="4"/>
  <c r="B23" i="4"/>
  <c r="B35" i="4"/>
  <c r="B47" i="4"/>
  <c r="B6" i="5"/>
  <c r="B10" i="6"/>
  <c r="B6" i="3"/>
  <c r="B12" i="3"/>
  <c r="B18" i="3"/>
  <c r="B24" i="3"/>
  <c r="B36" i="3"/>
  <c r="B42" i="3"/>
  <c r="B48" i="3"/>
  <c r="B60" i="3"/>
  <c r="B66" i="3"/>
  <c r="B72" i="3"/>
  <c r="B78" i="3"/>
  <c r="B84" i="3"/>
  <c r="B90" i="3"/>
  <c r="B96" i="3"/>
  <c r="B102" i="3"/>
  <c r="B108" i="3"/>
  <c r="B114" i="3"/>
  <c r="B120" i="3"/>
  <c r="B126" i="3"/>
  <c r="B132" i="3"/>
  <c r="B138" i="3"/>
  <c r="B144" i="3"/>
  <c r="B150" i="3"/>
  <c r="B156" i="3"/>
  <c r="B168" i="3"/>
  <c r="B180" i="3"/>
  <c r="B186" i="3"/>
  <c r="B198" i="3"/>
  <c r="B204" i="3"/>
  <c r="B210" i="3"/>
  <c r="B216" i="3"/>
  <c r="B222" i="3"/>
  <c r="B234" i="3"/>
  <c r="B12" i="4"/>
  <c r="B24" i="4"/>
  <c r="B36" i="4"/>
  <c r="B48" i="4"/>
  <c r="B7" i="5"/>
  <c r="B13" i="4"/>
  <c r="B25" i="4"/>
  <c r="B49" i="4"/>
  <c r="B12" i="6"/>
  <c r="B43" i="3"/>
  <c r="B91" i="3"/>
  <c r="B97" i="3"/>
  <c r="B103" i="3"/>
  <c r="B151" i="3"/>
  <c r="B2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Where to find it: Brevo, or Plausible goal "Waitlist Confirmed"</t>
        </r>
      </text>
    </comment>
    <comment ref="D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Where to find it: Confirmed ÷ "Waitlist Signup" form submissions in Plausible</t>
        </r>
      </text>
    </comment>
    <comment ref="E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Where to find it: Plausible "Waitlist Signup" with invited = yes</t>
        </r>
      </text>
    </comment>
    <comment ref="F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Where to find it: Brevo Founding Partner list, or the counter on the page</t>
        </r>
      </text>
    </comment>
    <comment ref="G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Where to find it: Your question log</t>
        </r>
      </text>
    </comment>
    <comment ref="H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Where to find it: Facebook Page insights</t>
        </r>
      </text>
    </comment>
    <comment ref="I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Where to find it: YouTube Studio</t>
        </r>
      </text>
    </comment>
    <comment ref="J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Where to find it: Plausible</t>
        </r>
      </text>
    </comment>
    <comment ref="K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Where to find it: Plausible custom event</t>
        </r>
      </text>
    </comment>
  </commentList>
</comments>
</file>

<file path=xl/sharedStrings.xml><?xml version="1.0" encoding="utf-8"?>
<sst xmlns="http://schemas.openxmlformats.org/spreadsheetml/2006/main" count="1203" uniqueCount="477">
  <si>
    <t>Mobilcab — 12-month organic marketing calendar</t>
  </si>
  <si>
    <t>From docs/Mobilcab_12_Month_Organic_Marketing_Calendar.md · Week 1 = month -6 · launch = week 27</t>
  </si>
  <si>
    <t>Settings</t>
  </si>
  <si>
    <t>Week 1 starts on (a Monday)</t>
  </si>
  <si>
    <t>Change this one date to move the whole plan, e.g. if the launch moves. Every date in the workbook follows it.</t>
  </si>
  <si>
    <t>Launch week</t>
  </si>
  <si>
    <t>Fixed: the plan puts launch in week 27 (month -6 is weeks 1–4). Week labels L−26 … L+25 count from it.</t>
  </si>
  <si>
    <t>Launch date</t>
  </si>
  <si>
    <t>Calculated from the two cells above.</t>
  </si>
  <si>
    <t>How to use it</t>
  </si>
  <si>
    <t>Weekly plan</t>
  </si>
  <si>
    <t>The overview: one row per week, one column per platform, with a progress bar per week.</t>
  </si>
  <si>
    <t>Tasks</t>
  </si>
  <si>
    <t>The checklist: one row per task. Pick ✓ in the Done column when it's done. Done rows turn green; tasks whose week has passed without a ✓ turn red. Use the filter arrows to see one week or one platform.</t>
  </si>
  <si>
    <t>Weekly numbers</t>
  </si>
  <si>
    <t>Every Friday, fill in one row (the numbers come from Brevo, Plausible, Facebook and YouTube).</t>
  </si>
  <si>
    <t>Website steps</t>
  </si>
  <si>
    <t>When to flip each switch in src/site.ts, and what it needs first.</t>
  </si>
  <si>
    <t>Deadlines</t>
  </si>
  <si>
    <t>What has to be ready by which week. If one slips, move that week's announcement, not the trust-building around it.</t>
  </si>
  <si>
    <t>Content bank</t>
  </si>
  <si>
    <t>Post ideas. Note the week you use one.</t>
  </si>
  <si>
    <t>Routine</t>
  </si>
  <si>
    <t>The same short routine every week.</t>
  </si>
  <si>
    <t>Legend</t>
  </si>
  <si>
    <t>Yellow cell, blue text</t>
  </si>
  <si>
    <t>You fill this in (the start date, ✓ marks, notes, weekly numbers).</t>
  </si>
  <si>
    <t>Green row</t>
  </si>
  <si>
    <t>Task done.</t>
  </si>
  <si>
    <t>Red row</t>
  </si>
  <si>
    <t>Its week is over and it has no ✓ yet.</t>
  </si>
  <si>
    <t>[VERIFY]</t>
  </si>
  <si>
    <t>A date or fact to confirm before relying on it (holidays, trade-show dates, app features).</t>
  </si>
  <si>
    <t>Time budget</t>
  </si>
  <si>
    <t>If time runs short, cut the blog first, then social posting. Never cut Facebook group presence or customer support (Marketing Plan Section 11).</t>
  </si>
  <si>
    <t>Progress counts the ✓ marks on the Tasks sheet. Dates follow the start date on "Start here".</t>
  </si>
  <si>
    <t>Week</t>
  </si>
  <si>
    <t>Label</t>
  </si>
  <si>
    <t>Week starts</t>
  </si>
  <si>
    <t>Phase</t>
  </si>
  <si>
    <t>Focus</t>
  </si>
  <si>
    <t>Hours</t>
  </si>
  <si>
    <t>Facebook groups</t>
  </si>
  <si>
    <t>Facebook Page</t>
  </si>
  <si>
    <t>YouTube</t>
  </si>
  <si>
    <t>Blog</t>
  </si>
  <si>
    <t>Email</t>
  </si>
  <si>
    <t>Website</t>
  </si>
  <si>
    <t>Other (offline, LinkedIn, beta, admin…)</t>
  </si>
  <si>
    <t>Done</t>
  </si>
  <si>
    <t>Progress</t>
  </si>
  <si>
    <t>Month -6 · Quiet foundation</t>
  </si>
  <si>
    <t>Set up the foundations</t>
  </si>
  <si>
    <t>10–12 h</t>
  </si>
  <si>
    <t/>
  </si>
  <si>
    <t>• Create the Page: name, wordmark logo, cover, one-line description, link. No posts yet</t>
  </si>
  <si>
    <t>• Create the channel (profile only, no videos yet)</t>
  </si>
  <si>
    <t>• Deploy the coming-soon page (Git/GitHub, Vercel, domain, Brevo, Plausible: see README)</t>
  </si>
  <si>
    <t>• Admin: Start SRL registration, Stripe account and e-Factura invoicing (Marketing Plan 4b)
• Research: List 10–15 groups (search: tâmplari, mobilă la comandă, CNC lemn, proiectare mobilă)</t>
  </si>
  <si>
    <t>Join the groups</t>
  </si>
  <si>
    <t>• Join the 5–10 best groups; read each group's rules (links allowed? project mentions?)
• Start the question log: every question carpenters ask, word for word</t>
  </si>
  <si>
    <t>• Legal: Send the Privacy Policy and Terms drafts to the lawyer (Privacy approval needed by week 12)</t>
  </si>
  <si>
    <t>Observe</t>
  </si>
  <si>
    <t>• Observe only: tone, recurring pain points, respected voices (anchor-customer candidates)</t>
  </si>
  <si>
    <t>• Content: Write 8–10 trade tips for the content bank</t>
  </si>
  <si>
    <t>Plan the offline side</t>
  </si>
  <si>
    <t>• Research: Find APMR and regional wood-cluster contacts
• Research: Look up 2027 dates for BIFE-SIM and regional fairs [VERIFY]
• Review: Monthly review: confirmed sign-ups, confirmation rate</t>
  </si>
  <si>
    <t>Month -5 · Trust-building</t>
  </si>
  <si>
    <t>Start helping</t>
  </si>
  <si>
    <t>• Answer 3–5 real questions properly, no self-promotion; update the question log</t>
  </si>
  <si>
    <t>• First post: trade tip ("Cum calculezi lățimea polițelor între laterale")</t>
  </si>
  <si>
    <t>• Anchor customer: Keep talking with the 2–3 candidates as a peer, no pitch</t>
  </si>
  <si>
    <t>First video, first association contact</t>
  </si>
  <si>
    <t>• First short video (2–4 min): a generic trade tip, not about the app</t>
  </si>
  <si>
    <t>• Associations: Introductory email to APMR (learning, not pitching)
• Anchor customer: Keep talking with the 2–3 candidates as a peer, no pitch</t>
  </si>
  <si>
    <t>Validate price and free plan</t>
  </si>
  <si>
    <t>• Trade tip #2</t>
  </si>
  <si>
    <t>• Validation: Ask 5–10 people privately what would make them try a new tool, what they use, a fair monthly price (Marketing Plan 3b)
• Anchor customer: Keep talking with the 2–3 candidates as a peer, no pitch</t>
  </si>
  <si>
    <t>Workshop visits (1 Dec: National Day)</t>
  </si>
  <si>
    <t>• Offline: Visit 2–3 local workshops (with permission) and watch how they design and cut
• Anchor customer: Keep talking with the 2–3 candidates as a peer, no pitch
• Review: Monthly review</t>
  </si>
  <si>
    <t>Month -4 · Soft mentions + referrals</t>
  </si>
  <si>
    <t>First soft mentions</t>
  </si>
  <si>
    <t>8–12 h</t>
  </si>
  <si>
    <t>• Keep answering; where relevant and allowed, mention "lucrez chiar la ceva pentru problema asta" in a comment (no link unless asked)</t>
  </si>
  <si>
    <t>• First behind-the-scenes post: a WIP screenshot</t>
  </si>
  <si>
    <t>First build log</t>
  </si>
  <si>
    <t>• Keep answering questions (never stop this)</t>
  </si>
  <si>
    <t>• Behind the scenes: WIP #2</t>
  </si>
  <si>
    <t>• First monthly build log ("jurnal de construcție") to the confirmed waitlist: 150–250 words + a screenshot</t>
  </si>
  <si>
    <t>Holidays (Christmas): no announcements</t>
  </si>
  <si>
    <t>• Replies only</t>
  </si>
  <si>
    <t>• One light seasonal post</t>
  </si>
  <si>
    <t>• Prep: Lawyer approval of the Privacy Policy; fill in EMAIL_SETTINGS; rebuild the emails</t>
  </si>
  <si>
    <t>Holidays (New Year): no announcements</t>
  </si>
  <si>
    <t>• Prep: Get week 13 ready: npm run test:all, check-launch, draft the invite-program posts</t>
  </si>
  <si>
    <t>REFERRAL LAUNCH</t>
  </si>
  <si>
    <t>• At most one own value-led post per group this month, only where allowed</t>
  </si>
  <si>
    <t>• Announce the invite program; pin it</t>
  </si>
  <si>
    <t>• New-year update + invite program: 3 confirmed invites = a guaranteed private-beta place</t>
  </si>
  <si>
    <t>• Publish Home + Privacy; REFERRAL_PROGRAM = true; rebuild + re-paste the emails; deploy</t>
  </si>
  <si>
    <t>• WhatsApp: Share your own invite link with carpenters you know personally</t>
  </si>
  <si>
    <t>Month -3 · Private beta</t>
  </si>
  <si>
    <t>Choose the beta testers</t>
  </si>
  <si>
    <t>12–14 h</t>
  </si>
  <si>
    <t>• Build log #2: the private beta has started</t>
  </si>
  <si>
    <t>• Beta: Pick 15–20 testers (everyone with 3+ confirmed invites, the anchor customer, the warmest contacts); invite each personally</t>
  </si>
  <si>
    <t>Private beta: onboarding</t>
  </si>
  <si>
    <t>• Behind the scenes: what we learned in the beta (with permission)</t>
  </si>
  <si>
    <t>• Beta: 5–7 one-to-one onboarding sessions (~45 min); ask permission to record and to quote</t>
  </si>
  <si>
    <t>FOUNDING PARTNER RESERVATIONS OPEN</t>
  </si>
  <si>
    <t>• Founding Partner program post (co-creation framing)</t>
  </si>
  <si>
    <t>• 100 Founding Partner spots: reserve now, nothing to pay</t>
  </si>
  <si>
    <t>• Publish the Founding Partner page (set BREVO_FP_LIST_ID first)</t>
  </si>
  <si>
    <t>• Behind the scenes: beta update</t>
  </si>
  <si>
    <t>• Beta: 5–7 one-to-one onboarding sessions (~45 min); ask permission to record and to quote
• Review: Monthly review: reservations, beta activation (first export), feedback themes</t>
  </si>
  <si>
    <t>Month -2 · Proof building</t>
  </si>
  <si>
    <t>Demo 1 + blog post 1</t>
  </si>
  <si>
    <t>12 h</t>
  </si>
  <si>
    <t>• Link the blog post in a comment where a question matches</t>
  </si>
  <si>
    <t>• Record demo 1 (design flow) on a real beta project (Launch Content Kit 2.1)</t>
  </si>
  <si>
    <t>• Publish post 1 "Program proiectare mobilă gratuit…" after verifying competitor facts (blog: true)</t>
  </si>
  <si>
    <t>• Build log #3</t>
  </si>
  <si>
    <t>Demo 2 + blog post 2</t>
  </si>
  <si>
    <t>• Record demo 2 (AI assistant, Kit 2.2)</t>
  </si>
  <si>
    <t>• Publish post 2 "Cum faci cutlist pentru CNC…"</t>
  </si>
  <si>
    <t>Demo 3 + blog post 3 + Demo page</t>
  </si>
  <si>
    <t>• Record demo 3 (cutlist/CNC export, Kit 2.3); upload all three</t>
  </si>
  <si>
    <t>• Publish post 3 "Polyboard vs. alternative cloud-based"</t>
  </si>
  <si>
    <t>• Publish the Demo page; add the video IDs to src/data/demoVideos.ts</t>
  </si>
  <si>
    <t>Social proof</t>
  </si>
  <si>
    <t>• First demo-clip post in 1–2 groups where you're well known</t>
  </si>
  <si>
    <t>• Testimonial post #1 (tag the tester if they agree)</t>
  </si>
  <si>
    <t>• Publish the FAQ; add 3–5 real testimonials to src/data/testimonials.ts</t>
  </si>
  <si>
    <t>Final decisions</t>
  </si>
  <si>
    <t>• Decide: Final prices, free-plan limits, Founding Partner terms (open questions in DECISIONS.md)
• Review: Monthly review</t>
  </si>
  <si>
    <t>Month -1 · Countdown</t>
  </si>
  <si>
    <t>Countdown: 4 weeks</t>
  </si>
  <si>
    <t>• Countdown #1 ("4 săptămâni")</t>
  </si>
  <si>
    <t>• Launch date announced: "Pe 12 aprilie lansăm"</t>
  </si>
  <si>
    <t>• Publish Pricing + Terms (lawyer-approved)</t>
  </si>
  <si>
    <t>• Anchor customer: Agree how they'll take part at launch
• Development: Stripe payments working (make a test payment)</t>
  </si>
  <si>
    <t>Countdown: 3 weeks</t>
  </si>
  <si>
    <t>• Value post with the launch date at the end, where allowed</t>
  </si>
  <si>
    <t>• Countdown #2: a short demo clip</t>
  </si>
  <si>
    <t>• Tutorial #2 (from the question log)</t>
  </si>
  <si>
    <t>Countdown: 2 weeks</t>
  </si>
  <si>
    <t>• Countdown #3: a testimonial</t>
  </si>
  <si>
    <t>• Launch prep: Finalise the founder-story post for each group (Launch Content Kit 3.1)
• Support: Answers ready for the 5–10 most likely questions</t>
  </si>
  <si>
    <t>Countdown: next week</t>
  </si>
  <si>
    <t>• Countdown #4 ("săptămâna viitoare")</t>
  </si>
  <si>
    <t>• Launching next week + Founding Partner spots left</t>
  </si>
  <si>
    <t>• Final checks: npm run test:all, check-launch, a test payment, every Brevo email</t>
  </si>
  <si>
    <t>Launch month</t>
  </si>
  <si>
    <t>LAUNCH</t>
  </si>
  <si>
    <t>~20 h</t>
  </si>
  <si>
    <t>• Founder-story post in each group, spread over the day, adapted per group (link in the comments)</t>
  </si>
  <si>
    <t>• Founder-story post, pinned</t>
  </si>
  <si>
    <t>• To the whole waitlist: "Mobilcab e live — locurile Founding Partner sunt deschise"</t>
  </si>
  <si>
    <t>• Day 1: productPublic = true; deploy; Founding Partner payments live</t>
  </si>
  <si>
    <t>• Anchor customer: Comments and shares
• Support: Reply to every comment and message the same day</t>
  </si>
  <si>
    <t>Launch follow-up</t>
  </si>
  <si>
    <t>• First real user project (with permission)</t>
  </si>
  <si>
    <t>• "Răspund la întrebările voastre" video from launch-week questions</t>
  </si>
  <si>
    <t>• Onboarding: Concierge sessions for new Founding Partners</t>
  </si>
  <si>
    <t>Transparency</t>
  </si>
  <si>
    <t>• Replies only; don't re-post the launch</t>
  </si>
  <si>
    <t>• "What we fixed in week 1" post</t>
  </si>
  <si>
    <t>Light week (1 May; Orthodox Easter 2 May [VERIFY])</t>
  </si>
  <si>
    <t>• One post</t>
  </si>
  <si>
    <t>• Review: Launch-month review: sign-ups, Founding Partners, activation, top questions</t>
  </si>
  <si>
    <t>Phase 1 · Romania growth</t>
  </si>
  <si>
    <t>First changelog</t>
  </si>
  <si>
    <t>8–10 h</t>
  </si>
  <si>
    <t>• Answer questions (about 2 h)</t>
  </si>
  <si>
    <t>• 2 posts this week</t>
  </si>
  <si>
    <t>• Tutorial #3</t>
  </si>
  <si>
    <t>• Post 4, from the most common question in the log</t>
  </si>
  <si>
    <t>• First monthly changelog to paying users (Marketing Plan 6a)</t>
  </si>
  <si>
    <t>Case study #1</t>
  </si>
  <si>
    <t>• Case study: Case study #1 with the anchor customer (project, time saved)</t>
  </si>
  <si>
    <t>Publish case study #1</t>
  </si>
  <si>
    <t>• Share case study #1 where relevant; answer questions</t>
  </si>
  <si>
    <t>• Publish case study #1 (+1 more post)</t>
  </si>
  <si>
    <t>Offline</t>
  </si>
  <si>
    <t>• Offline: A regional fair, or 3 workshop visits with a tablet demo</t>
  </si>
  <si>
    <t>Newsletter</t>
  </si>
  <si>
    <t>• Tutorial #4</t>
  </si>
  <si>
    <t>• Monthly newsletter to free users and the waitlist</t>
  </si>
  <si>
    <t>Retention</t>
  </si>
  <si>
    <t>• Retention: Personal "need help?" message to paying users inactive for 14+ days (6a)</t>
  </si>
  <si>
    <t>Blog + testimonial (Rusalii 20–21 June [VERIFY])</t>
  </si>
  <si>
    <t>• Testimonial #2 (+1 more post)</t>
  </si>
  <si>
    <t>• Post 5</t>
  </si>
  <si>
    <t>Founding Partner check-ins</t>
  </si>
  <si>
    <t>• Retention: Quarterly check-in with every Founding Partner (6a)</t>
  </si>
  <si>
    <t>Phase 1 review</t>
  </si>
  <si>
    <t>• Review: Phase 1 review vs goal: 100–300 users, 10–30 paying Founding Partners, 2–3 case studies</t>
  </si>
  <si>
    <t>Phase 2 · New segments</t>
  </si>
  <si>
    <t>Start Phase 2: LinkedIn + designers</t>
  </si>
  <si>
    <t>• LinkedIn: Company page + refreshed founder profile
• Groups: Join designer/architect groups (Facebook + LinkedIn); observe 2–3 weeks</t>
  </si>
  <si>
    <t>Case study #2</t>
  </si>
  <si>
    <t>• Case study: Case study #2
• Designers: Client-presentation angle, only if the app really shares live designs [VERIFY]</t>
  </si>
  <si>
    <t>Design schools</t>
  </si>
  <si>
    <t>• Partnerships: Contact 1–2 design schools about an autumn webinar</t>
  </si>
  <si>
    <t>August: lighter cadence</t>
  </si>
  <si>
    <t>• 1 post</t>
  </si>
  <si>
    <t>• 1 video</t>
  </si>
  <si>
    <t>• Prep: Webinar content + a partnership one-pager (users, case studies)</t>
  </si>
  <si>
    <t>Partnerships</t>
  </si>
  <si>
    <t>• Partnerships: Write to fittings distributors (Blum, Hettich, GTV) and CNC sellers in Romania</t>
  </si>
  <si>
    <t>• Prep: Follow up on partnership replies</t>
  </si>
  <si>
    <t>August: lighter cadence (15 Aug holiday)</t>
  </si>
  <si>
    <t>Manufacturers</t>
  </si>
  <si>
    <t>• LinkedIn: 5 direct conversations with manufacturers, using the case studies</t>
  </si>
  <si>
    <t>Webinar</t>
  </si>
  <si>
    <t>• Webinar: Design-school webinar, or a Facebook Live demo</t>
  </si>
  <si>
    <t>Content for designers</t>
  </si>
  <si>
    <t>• A video for designers</t>
  </si>
  <si>
    <t>• A post for designers</t>
  </si>
  <si>
    <t>Trade show</t>
  </si>
  <si>
    <t>• Trade show: BIFE-SIM or a regional fair if the dates fall here: tablet demos, 20–30 conversations</t>
  </si>
  <si>
    <t>Retention set-up</t>
  </si>
  <si>
    <t>• Retention: Win-back email for cancelled users; plan Founding Partner renewal reminders (April 2028)</t>
  </si>
  <si>
    <t>Year review</t>
  </si>
  <si>
    <t>• Review: Year review: best channels for confirmed sign-ups and paying users; plan year 2</t>
  </si>
  <si>
    <t>Pick ✓ in "Done" when a task is finished. Filter by week or platform with the arrows in row 4.</t>
  </si>
  <si>
    <t>Platform</t>
  </si>
  <si>
    <t>Task</t>
  </si>
  <si>
    <t>Notes</t>
  </si>
  <si>
    <t>Create the Page: name, wordmark logo, cover, one-line description, link. No posts yet</t>
  </si>
  <si>
    <t>Create the channel (profile only, no videos yet)</t>
  </si>
  <si>
    <t>Deploy the coming-soon page (Git/GitHub, Vercel, domain, Brevo, Plausible: see README)</t>
  </si>
  <si>
    <t>Admin</t>
  </si>
  <si>
    <t>Start SRL registration, Stripe account and e-Factura invoicing (Marketing Plan 4b)</t>
  </si>
  <si>
    <t>Research</t>
  </si>
  <si>
    <t>List 10–15 groups (search: tâmplari, mobilă la comandă, CNC lemn, proiectare mobilă)</t>
  </si>
  <si>
    <t>Weekly routine + Friday numbers (see Routine and Weekly numbers)</t>
  </si>
  <si>
    <t>Join the 5–10 best groups; read each group's rules (links allowed? project mentions?)</t>
  </si>
  <si>
    <t>Start the question log: every question carpenters ask, word for word</t>
  </si>
  <si>
    <t>Legal</t>
  </si>
  <si>
    <t>Send the Privacy Policy and Terms drafts to the lawyer (Privacy approval needed by week 12)</t>
  </si>
  <si>
    <t>Observe only: tone, recurring pain points, respected voices (anchor-customer candidates)</t>
  </si>
  <si>
    <t>Content</t>
  </si>
  <si>
    <t>Write 8–10 trade tips for the content bank</t>
  </si>
  <si>
    <t>Find APMR and regional wood-cluster contacts</t>
  </si>
  <si>
    <t>Look up 2027 dates for BIFE-SIM and regional fairs [VERIFY]</t>
  </si>
  <si>
    <t>Review</t>
  </si>
  <si>
    <t>Monthly review: confirmed sign-ups, confirmation rate</t>
  </si>
  <si>
    <t>Answer 3–5 real questions properly, no self-promotion; update the question log</t>
  </si>
  <si>
    <t>First post: trade tip ("Cum calculezi lățimea polițelor între laterale")</t>
  </si>
  <si>
    <t>Anchor customer</t>
  </si>
  <si>
    <t>Keep talking with the 2–3 candidates as a peer, no pitch</t>
  </si>
  <si>
    <t>First short video (2–4 min): a generic trade tip, not about the app</t>
  </si>
  <si>
    <t>Associations</t>
  </si>
  <si>
    <t>Introductory email to APMR (learning, not pitching)</t>
  </si>
  <si>
    <t>Trade tip #2</t>
  </si>
  <si>
    <t>Validation</t>
  </si>
  <si>
    <t>Ask 5–10 people privately what would make them try a new tool, what they use, a fair monthly price (Marketing Plan 3b)</t>
  </si>
  <si>
    <t>Visit 2–3 local workshops (with permission) and watch how they design and cut</t>
  </si>
  <si>
    <t>Monthly review</t>
  </si>
  <si>
    <t>Keep answering; where relevant and allowed, mention "lucrez chiar la ceva pentru problema asta" in a comment (no link unless asked)</t>
  </si>
  <si>
    <t>First behind-the-scenes post: a WIP screenshot</t>
  </si>
  <si>
    <t>Keep answering questions (never stop this)</t>
  </si>
  <si>
    <t>Behind the scenes: WIP #2</t>
  </si>
  <si>
    <t>First monthly build log ("jurnal de construcție") to the confirmed waitlist: 150–250 words + a screenshot</t>
  </si>
  <si>
    <t>Replies only</t>
  </si>
  <si>
    <t>One light seasonal post</t>
  </si>
  <si>
    <t>Prep</t>
  </si>
  <si>
    <t>Lawyer approval of the Privacy Policy; fill in EMAIL_SETTINGS; rebuild the emails</t>
  </si>
  <si>
    <t>Get week 13 ready: npm run test:all, check-launch, draft the invite-program posts</t>
  </si>
  <si>
    <t>At most one own value-led post per group this month, only where allowed</t>
  </si>
  <si>
    <t>Announce the invite program; pin it</t>
  </si>
  <si>
    <t>New-year update + invite program: 3 confirmed invites = a guaranteed private-beta place</t>
  </si>
  <si>
    <t>Publish Home + Privacy; REFERRAL_PROGRAM = true; rebuild + re-paste the emails; deploy</t>
  </si>
  <si>
    <t>WhatsApp</t>
  </si>
  <si>
    <t>Share your own invite link with carpenters you know personally</t>
  </si>
  <si>
    <t>Build log #2: the private beta has started</t>
  </si>
  <si>
    <t>Beta</t>
  </si>
  <si>
    <t>Pick 15–20 testers (everyone with 3+ confirmed invites, the anchor customer, the warmest contacts); invite each personally</t>
  </si>
  <si>
    <t>Behind the scenes: what we learned in the beta (with permission)</t>
  </si>
  <si>
    <t>5–7 one-to-one onboarding sessions (~45 min); ask permission to record and to quote</t>
  </si>
  <si>
    <t>Founding Partner program post (co-creation framing)</t>
  </si>
  <si>
    <t>100 Founding Partner spots: reserve now, nothing to pay</t>
  </si>
  <si>
    <t>Publish the Founding Partner page (set BREVO_FP_LIST_ID first)</t>
  </si>
  <si>
    <t>Behind the scenes: beta update</t>
  </si>
  <si>
    <t>Monthly review: reservations, beta activation (first export), feedback themes</t>
  </si>
  <si>
    <t>Link the blog post in a comment where a question matches</t>
  </si>
  <si>
    <t>Record demo 1 (design flow) on a real beta project (Launch Content Kit 2.1)</t>
  </si>
  <si>
    <t>Publish post 1 "Program proiectare mobilă gratuit…" after verifying competitor facts (blog: true)</t>
  </si>
  <si>
    <t>Build log #3</t>
  </si>
  <si>
    <t>Record demo 2 (AI assistant, Kit 2.2)</t>
  </si>
  <si>
    <t>Publish post 2 "Cum faci cutlist pentru CNC…"</t>
  </si>
  <si>
    <t>Record demo 3 (cutlist/CNC export, Kit 2.3); upload all three</t>
  </si>
  <si>
    <t>Publish post 3 "Polyboard vs. alternative cloud-based"</t>
  </si>
  <si>
    <t>Publish the Demo page; add the video IDs to src/data/demoVideos.ts</t>
  </si>
  <si>
    <t>First demo-clip post in 1–2 groups where you're well known</t>
  </si>
  <si>
    <t>Testimonial post #1 (tag the tester if they agree)</t>
  </si>
  <si>
    <t>Publish the FAQ; add 3–5 real testimonials to src/data/testimonials.ts</t>
  </si>
  <si>
    <t>Decide</t>
  </si>
  <si>
    <t>Final prices, free-plan limits, Founding Partner terms (open questions in DECISIONS.md)</t>
  </si>
  <si>
    <t>Countdown #1 ("4 săptămâni")</t>
  </si>
  <si>
    <t>Launch date announced: "Pe 12 aprilie lansăm"</t>
  </si>
  <si>
    <t>Publish Pricing + Terms (lawyer-approved)</t>
  </si>
  <si>
    <t>Agree how they'll take part at launch</t>
  </si>
  <si>
    <t>Development</t>
  </si>
  <si>
    <t>Stripe payments working (make a test payment)</t>
  </si>
  <si>
    <t>Value post with the launch date at the end, where allowed</t>
  </si>
  <si>
    <t>Countdown #2: a short demo clip</t>
  </si>
  <si>
    <t>Tutorial #2 (from the question log)</t>
  </si>
  <si>
    <t>Countdown #3: a testimonial</t>
  </si>
  <si>
    <t>Launch prep</t>
  </si>
  <si>
    <t>Finalise the founder-story post for each group (Launch Content Kit 3.1)</t>
  </si>
  <si>
    <t>Support</t>
  </si>
  <si>
    <t>Answers ready for the 5–10 most likely questions</t>
  </si>
  <si>
    <t>Countdown #4 ("săptămâna viitoare")</t>
  </si>
  <si>
    <t>Launching next week + Founding Partner spots left</t>
  </si>
  <si>
    <t>Final checks: npm run test:all, check-launch, a test payment, every Brevo email</t>
  </si>
  <si>
    <t>Founder-story post in each group, spread over the day, adapted per group (link in the comments)</t>
  </si>
  <si>
    <t>Founder-story post, pinned</t>
  </si>
  <si>
    <t>To the whole waitlist: "Mobilcab e live — locurile Founding Partner sunt deschise"</t>
  </si>
  <si>
    <t>Day 1: productPublic = true; deploy; Founding Partner payments live</t>
  </si>
  <si>
    <t>Comments and shares</t>
  </si>
  <si>
    <t>Reply to every comment and message the same day</t>
  </si>
  <si>
    <t>First real user project (with permission)</t>
  </si>
  <si>
    <t>"Răspund la întrebările voastre" video from launch-week questions</t>
  </si>
  <si>
    <t>Onboarding</t>
  </si>
  <si>
    <t>Concierge sessions for new Founding Partners</t>
  </si>
  <si>
    <t>Replies only; don't re-post the launch</t>
  </si>
  <si>
    <t>"What we fixed in week 1" post</t>
  </si>
  <si>
    <t>One post</t>
  </si>
  <si>
    <t>Launch-month review: sign-ups, Founding Partners, activation, top questions</t>
  </si>
  <si>
    <t>Answer questions (about 2 h)</t>
  </si>
  <si>
    <t>2 posts this week</t>
  </si>
  <si>
    <t>Tutorial #3</t>
  </si>
  <si>
    <t>Post 4, from the most common question in the log</t>
  </si>
  <si>
    <t>First monthly changelog to paying users (Marketing Plan 6a)</t>
  </si>
  <si>
    <t>Case study</t>
  </si>
  <si>
    <t>Case study #1 with the anchor customer (project, time saved)</t>
  </si>
  <si>
    <t>Share case study #1 where relevant; answer questions</t>
  </si>
  <si>
    <t>Publish case study #1 (+1 more post)</t>
  </si>
  <si>
    <t>A regional fair, or 3 workshop visits with a tablet demo</t>
  </si>
  <si>
    <t>Tutorial #4</t>
  </si>
  <si>
    <t>Monthly newsletter to free users and the waitlist</t>
  </si>
  <si>
    <t>Personal "need help?" message to paying users inactive for 14+ days (6a)</t>
  </si>
  <si>
    <t>Testimonial #2 (+1 more post)</t>
  </si>
  <si>
    <t>Post 5</t>
  </si>
  <si>
    <t>Quarterly check-in with every Founding Partner (6a)</t>
  </si>
  <si>
    <t>Phase 1 review vs goal: 100–300 users, 10–30 paying Founding Partners, 2–3 case studies</t>
  </si>
  <si>
    <t>LinkedIn</t>
  </si>
  <si>
    <t>Company page + refreshed founder profile</t>
  </si>
  <si>
    <t>Groups</t>
  </si>
  <si>
    <t>Join designer/architect groups (Facebook + LinkedIn); observe 2–3 weeks</t>
  </si>
  <si>
    <t>Designers</t>
  </si>
  <si>
    <t>Client-presentation angle, only if the app really shares live designs [VERIFY]</t>
  </si>
  <si>
    <t>Contact 1–2 design schools about an autumn webinar</t>
  </si>
  <si>
    <t>1 post</t>
  </si>
  <si>
    <t>1 video</t>
  </si>
  <si>
    <t>Webinar content + a partnership one-pager (users, case studies)</t>
  </si>
  <si>
    <t>Write to fittings distributors (Blum, Hettich, GTV) and CNC sellers in Romania</t>
  </si>
  <si>
    <t>Follow up on partnership replies</t>
  </si>
  <si>
    <t>5 direct conversations with manufacturers, using the case studies</t>
  </si>
  <si>
    <t>Design-school webinar, or a Facebook Live demo</t>
  </si>
  <si>
    <t>A video for designers</t>
  </si>
  <si>
    <t>A post for designers</t>
  </si>
  <si>
    <t>BIFE-SIM or a regional fair if the dates fall here: tablet demos, 20–30 conversations</t>
  </si>
  <si>
    <t>Win-back email for cancelled users; plan Founding Partner renewal reminders (April 2028)</t>
  </si>
  <si>
    <t>Year review: best channels for confirmed sign-ups and paying users; plan year 2</t>
  </si>
  <si>
    <t>Fill in one row every Friday. Row 5 is an example of the format; the weeks start in row 6.</t>
  </si>
  <si>
    <t>New confirmed sign-ups</t>
  </si>
  <si>
    <t>Confirmation rate</t>
  </si>
  <si>
    <t>Sign-ups via invite links</t>
  </si>
  <si>
    <t>Founding Partner reservations (total)</t>
  </si>
  <si>
    <t>Questions answered in groups</t>
  </si>
  <si>
    <t>Facebook Page followers</t>
  </si>
  <si>
    <t>YouTube subscribers</t>
  </si>
  <si>
    <t>Blog + Demo page visits</t>
  </si>
  <si>
    <t>blog_to_signup clicks</t>
  </si>
  <si>
    <t>Example</t>
  </si>
  <si>
    <t>Format example: replace nothing here, start in row 6</t>
  </si>
  <si>
    <t>One change in src/site.ts or src/config.ts plus a deploy each. Run npm run test:all and npm run check-launch first.</t>
  </si>
  <si>
    <t>Website step</t>
  </si>
  <si>
    <t>Needs first</t>
  </si>
  <si>
    <t>Deploy the coming-soon page</t>
  </si>
  <si>
    <t>Git + GitHub, Vercel account, domain, Brevo setup (README), Plausible</t>
  </si>
  <si>
    <t>home: true, privacy: true, REFERRAL_PROGRAM = true; rebuild + re-paste emails</t>
  </si>
  <si>
    <t>Lawyer-approved Privacy Policy (drafts sent week 2, approved by week 12)</t>
  </si>
  <si>
    <t>foundingPartner: true</t>
  </si>
  <si>
    <t>BREVO_FP_LIST_ID; open questions 2–3 in DECISIONS.md decided</t>
  </si>
  <si>
    <t>blog: true + first post published: true</t>
  </si>
  <si>
    <t>Competitor facts verified (the [VERIFICĂ] markers)</t>
  </si>
  <si>
    <t>demo: true; video IDs in src/data/demoVideos.ts</t>
  </si>
  <si>
    <t>The three recorded videos</t>
  </si>
  <si>
    <t>faq: true; real quotes in src/data/testimonials.ts</t>
  </si>
  <si>
    <t>Answers to open questions 4–5; testers' written permission</t>
  </si>
  <si>
    <t>pricing: true, terms: true</t>
  </si>
  <si>
    <t>Final prices; lawyer-approved Terms</t>
  </si>
  <si>
    <t>productPublic = true; Founding Partner payments live</t>
  </si>
  <si>
    <t>Stripe payments built into the site (not built yet: schedule before week 23)</t>
  </si>
  <si>
    <t>If one slips, move that week's announcement, not the trust-building work around it.</t>
  </si>
  <si>
    <t>Needed by week</t>
  </si>
  <si>
    <t>What</t>
  </si>
  <si>
    <t>Owner</t>
  </si>
  <si>
    <t>Git + GitHub, Vercel, domain, Brevo setup, Plausible</t>
  </si>
  <si>
    <t>Founder</t>
  </si>
  <si>
    <t>Lawyer-approved Privacy Policy (blocks the referral launch)</t>
  </si>
  <si>
    <t>Lawyer</t>
  </si>
  <si>
    <t>Product ready for real projects (blocks the private beta)</t>
  </si>
  <si>
    <t>Founding Partner open questions 2–3 decided</t>
  </si>
  <si>
    <t>Demo videos recorded (weeks 18–20)</t>
  </si>
  <si>
    <t>Open questions 4–5 answered (FAQ); testimonial permissions</t>
  </si>
  <si>
    <t>Final prices and free-plan limits (open question 1)</t>
  </si>
  <si>
    <t>Lawyer-approved Terms</t>
  </si>
  <si>
    <t>Stripe payments built into the site</t>
  </si>
  <si>
    <t>Facebook Page posts are short: 3–6 lines plus an image or clip. Group content is mostly answers, not posts.</t>
  </si>
  <si>
    <t>#</t>
  </si>
  <si>
    <t>Type</t>
  </si>
  <si>
    <t>Idea</t>
  </si>
  <si>
    <t>From week</t>
  </si>
  <si>
    <t>Used in week</t>
  </si>
  <si>
    <t>Trade tip</t>
  </si>
  <si>
    <t>Lățimea pieselor dintre laterale: de ce se scad două grosimi</t>
  </si>
  <si>
    <t>Cantul ABS de 2 mm: când și cât scazi din dimensiunea de debitare</t>
  </si>
  <si>
    <t>Rosturile ușilor: 2 mm sau 3 mm? Ce iei în calcul</t>
  </si>
  <si>
    <t>Balamale aplicate vs. semi-aplicate vs. interioare: diferențele de calcul</t>
  </si>
  <si>
    <t>Coliziunea sertar–balama: cum o eviți înainte de tăiere</t>
  </si>
  <si>
    <t>Dulapul de colț: trei soluții și dezavantajele fiecăreia</t>
  </si>
  <si>
    <t>Cum îți organizezi lista de debitare ca să nu greșești la transcriere</t>
  </si>
  <si>
    <t>Optimizarea plăcii: cât material pierzi de obicei și cum reduci</t>
  </si>
  <si>
    <t>Ce verifici la un fișier înainte să-l trimiți la CNC</t>
  </si>
  <si>
    <t>Cum măsori corect la client: lista de verificare</t>
  </si>
  <si>
    <t>Behind the scenes</t>
  </si>
  <si>
    <t>WIP screenshot: a feature a carpenter in a group asked for</t>
  </si>
  <si>
    <t>What I learned visiting three workshops</t>
  </si>
  <si>
    <t>Why the app runs in the browser (the founder's reason)</t>
  </si>
  <si>
    <t>Build-log highlights from the monthly email</t>
  </si>
  <si>
    <t>Proof</t>
  </si>
  <si>
    <t>The three demo clips, each cut to 30–60 s for the Page</t>
  </si>
  <si>
    <t>Testimonials (with permission): name, workshop, city, one concrete result</t>
  </si>
  <si>
    <t>Case studies: one real project, before vs. after</t>
  </si>
  <si>
    <t>"Answering your questions" videos from the question log</t>
  </si>
  <si>
    <t>Community</t>
  </si>
  <si>
    <t>The invite program: what you get for 1 and 3 confirmed invites</t>
  </si>
  <si>
    <t>Question to the audience: "Ce program folosiți acum pentru bucătării?"</t>
  </si>
  <si>
    <t>Spotlight on a beta tester's workshop (with permission)</t>
  </si>
  <si>
    <t>"You asked, we built" (Marketing Plan 6a)</t>
  </si>
  <si>
    <t>Launch</t>
  </si>
  <si>
    <t>Countdown posts: 4, 3, 2, 1 weeks</t>
  </si>
  <si>
    <t>The founder-story post (Launch Content Kit 3.1)</t>
  </si>
  <si>
    <t>Spots left: "X din 100 locuri Founding Partner"</t>
  </si>
  <si>
    <t>"What we fixed in week 1"</t>
  </si>
  <si>
    <t>Weekly routine</t>
  </si>
  <si>
    <t>The same every week. Group presence and support are the two things never to cut.</t>
  </si>
  <si>
    <t>Day</t>
  </si>
  <si>
    <t>Time</t>
  </si>
  <si>
    <t>Monday</t>
  </si>
  <si>
    <t>Facebook groups: answer new questions; update the question log</t>
  </si>
  <si>
    <t>45 min</t>
  </si>
  <si>
    <t>Tuesday</t>
  </si>
  <si>
    <t>Create this week's Page post or video</t>
  </si>
  <si>
    <t>1–2 h</t>
  </si>
  <si>
    <t>Wednesday</t>
  </si>
  <si>
    <t>Facebook groups: answers; private conversations (anchor customer, validation)</t>
  </si>
  <si>
    <t>Thursday</t>
  </si>
  <si>
    <t>Publish (Facebook Page / YouTube / blog)</t>
  </si>
  <si>
    <t>30 min</t>
  </si>
  <si>
    <t>Friday</t>
  </si>
  <si>
    <t>Fill in "Weekly numbers"; tick off tasks; plan next week</t>
  </si>
  <si>
    <t>Every day</t>
  </si>
  <si>
    <t>Reply to comments and messages within 24 hours</t>
  </si>
  <si>
    <t>—</t>
  </si>
  <si>
    <t>Group etiquette</t>
  </si>
  <si>
    <t>•</t>
  </si>
  <si>
    <t>Give value at least 9 times for every 1 mention of Mobilcab.</t>
  </si>
  <si>
    <t>Answer the question asked, fully, even when the honest answer isn't Mobilcab.</t>
  </si>
  <si>
    <t>Never paste the same post in every group on the same day: adapt it, and space it out.</t>
  </si>
  <si>
    <t>Links go in a comment, not the post, if the group allows them at all.</t>
  </si>
  <si>
    <t>If an admin says no, accept it: a ban costs a whole slice of a small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</si>
</sst>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\ mmm\ yyyy"/>
    <numFmt numFmtId="165" formatCode="d\ mmm\ yyyy"/>
  </numFmts>
  <fonts count="12" x14ac:knownFonts="1">
    <font>
      <sz val="11"/>
      <color theme="1"/>
      <name val="Calibri"/>
      <family val="2"/>
      <scheme val="minor"/>
    </font>
    <font>
      <b/>
      <sz val="16"/>
      <color rgb="FF1D2126"/>
      <name val="Arial"/>
    </font>
    <font>
      <i/>
      <sz val="10"/>
      <color rgb="FF4A5059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0"/>
      <color rgb="FFFFFFFF"/>
      <name val="Arial"/>
    </font>
    <font>
      <b/>
      <sz val="10"/>
      <color rgb="FF9A5F1A"/>
      <name val="Arial"/>
    </font>
    <font>
      <sz val="11"/>
      <color rgb="FF0000FF"/>
      <name val="Calibri"/>
    </font>
    <font>
      <i/>
      <sz val="10"/>
      <color rgb="FF8A8F98"/>
      <name val="Arial"/>
    </font>
    <font>
      <i/>
      <sz val="11"/>
      <color rgb="FF8A8F9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BE3E1"/>
      </patternFill>
    </fill>
    <fill>
      <patternFill patternType="solid">
        <fgColor rgb="FF1D2126"/>
      </patternFill>
    </fill>
    <fill>
      <patternFill patternType="solid">
        <fgColor rgb="FFF7F6F3"/>
      </patternFill>
    </fill>
  </fills>
  <borders count="2">
    <border>
      <left/>
      <right/>
      <top/>
      <bottom/>
      <diagonal/>
    </border>
    <border>
      <left style="thin">
        <color rgb="FFD9D6CF"/>
      </left>
      <right style="thin">
        <color rgb="FFD9D6CF"/>
      </right>
      <top style="thin">
        <color rgb="FFD9D6CF"/>
      </top>
      <bottom style="thin">
        <color rgb="FFD9D6C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5" fontId="4" fillId="6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9" fontId="10" fillId="0" borderId="1" xfId="0" applyNumberFormat="1" applyFont="1" applyBorder="1"/>
    <xf numFmtId="165" fontId="4" fillId="0" borderId="1" xfId="0" applyNumberFormat="1" applyFont="1" applyBorder="1"/>
    <xf numFmtId="9" fontId="9" fillId="2" borderId="1" xfId="0" applyNumberFormat="1" applyFont="1" applyFill="1" applyBorder="1"/>
  </cellXfs>
  <cellStyles count="1">
    <cellStyle name="Normal" xfId="0" builtinId="0"/>
  </cellStyles>
  <dxfs count="6">
    <dxf>
      <fill>
        <patternFill patternType="solid">
          <bgColor rgb="FFFBE3E1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BE3E1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BE3E1"/>
        </patternFill>
      </fill>
    </dxf>
    <dxf>
      <font>
        <color rgb="FF6B728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A5F1A"/>
  </sheetPr>
  <dimension ref="A1:D25"/>
  <sheetViews>
    <sheetView tabSelected="1" workbookViewId="0"/>
  </sheetViews>
  <sheetFormatPr defaultRowHeight="14.4" x14ac:dyDescent="0.3"/>
  <cols>
    <col min="1" max="1" width="4" customWidth="1"/>
    <col min="2" max="2" width="34" customWidth="1"/>
    <col min="3" max="3" width="22" customWidth="1"/>
    <col min="4" max="4" width="7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ht="15.6" x14ac:dyDescent="0.3">
      <c r="B4" s="3" t="s">
        <v>2</v>
      </c>
    </row>
    <row r="6" spans="1:4" x14ac:dyDescent="0.3">
      <c r="B6" s="4" t="s">
        <v>3</v>
      </c>
      <c r="C6" s="5">
        <v>46307</v>
      </c>
      <c r="D6" s="4" t="s">
        <v>4</v>
      </c>
    </row>
    <row r="7" spans="1:4" x14ac:dyDescent="0.3">
      <c r="B7" s="4" t="s">
        <v>5</v>
      </c>
      <c r="C7" s="6">
        <v>27</v>
      </c>
      <c r="D7" s="4" t="s">
        <v>6</v>
      </c>
    </row>
    <row r="8" spans="1:4" x14ac:dyDescent="0.3">
      <c r="B8" s="4" t="s">
        <v>7</v>
      </c>
      <c r="C8" s="7">
        <f>C6+7*(C7-1)</f>
        <v>46489</v>
      </c>
      <c r="D8" s="4" t="s">
        <v>8</v>
      </c>
    </row>
    <row r="10" spans="1:4" ht="15.6" x14ac:dyDescent="0.3">
      <c r="B10" s="3" t="s">
        <v>9</v>
      </c>
    </row>
    <row r="11" spans="1:4" ht="26.4" x14ac:dyDescent="0.3">
      <c r="B11" s="8" t="s">
        <v>10</v>
      </c>
      <c r="D11" s="9" t="s">
        <v>11</v>
      </c>
    </row>
    <row r="12" spans="1:4" ht="39.6" x14ac:dyDescent="0.3">
      <c r="B12" s="8" t="s">
        <v>12</v>
      </c>
      <c r="D12" s="9" t="s">
        <v>13</v>
      </c>
    </row>
    <row r="13" spans="1:4" ht="26.4" x14ac:dyDescent="0.3">
      <c r="B13" s="8" t="s">
        <v>14</v>
      </c>
      <c r="D13" s="9" t="s">
        <v>15</v>
      </c>
    </row>
    <row r="14" spans="1:4" x14ac:dyDescent="0.3">
      <c r="B14" s="8" t="s">
        <v>16</v>
      </c>
      <c r="D14" s="9" t="s">
        <v>17</v>
      </c>
    </row>
    <row r="15" spans="1:4" ht="26.4" x14ac:dyDescent="0.3">
      <c r="B15" s="8" t="s">
        <v>18</v>
      </c>
      <c r="D15" s="9" t="s">
        <v>19</v>
      </c>
    </row>
    <row r="16" spans="1:4" x14ac:dyDescent="0.3">
      <c r="B16" s="8" t="s">
        <v>20</v>
      </c>
      <c r="D16" s="9" t="s">
        <v>21</v>
      </c>
    </row>
    <row r="17" spans="2:4" x14ac:dyDescent="0.3">
      <c r="B17" s="8" t="s">
        <v>22</v>
      </c>
      <c r="D17" s="9" t="s">
        <v>23</v>
      </c>
    </row>
    <row r="19" spans="2:4" ht="15.6" x14ac:dyDescent="0.3">
      <c r="B19" s="3" t="s">
        <v>24</v>
      </c>
    </row>
    <row r="20" spans="2:4" x14ac:dyDescent="0.3">
      <c r="B20" s="10" t="s">
        <v>25</v>
      </c>
      <c r="D20" s="4" t="s">
        <v>26</v>
      </c>
    </row>
    <row r="21" spans="2:4" x14ac:dyDescent="0.3">
      <c r="B21" s="11" t="s">
        <v>27</v>
      </c>
      <c r="D21" s="4" t="s">
        <v>28</v>
      </c>
    </row>
    <row r="22" spans="2:4" x14ac:dyDescent="0.3">
      <c r="B22" s="12" t="s">
        <v>29</v>
      </c>
      <c r="D22" s="4" t="s">
        <v>30</v>
      </c>
    </row>
    <row r="23" spans="2:4" x14ac:dyDescent="0.3">
      <c r="B23" s="4" t="s">
        <v>31</v>
      </c>
      <c r="D23" s="4" t="s">
        <v>32</v>
      </c>
    </row>
    <row r="25" spans="2:4" ht="27" x14ac:dyDescent="0.3">
      <c r="B25" s="3" t="s">
        <v>33</v>
      </c>
      <c r="D25" s="13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8" customWidth="1"/>
    <col min="3" max="3" width="15" customWidth="1"/>
    <col min="4" max="4" width="22" customWidth="1"/>
    <col min="5" max="5" width="24" customWidth="1"/>
    <col min="6" max="6" width="8" customWidth="1"/>
    <col min="7" max="7" width="36" customWidth="1"/>
    <col min="8" max="8" width="30" customWidth="1"/>
    <col min="9" max="10" width="28" customWidth="1"/>
    <col min="11" max="11" width="30" customWidth="1"/>
    <col min="12" max="12" width="32" customWidth="1"/>
    <col min="13" max="13" width="44" customWidth="1"/>
    <col min="14" max="15" width="7" customWidth="1"/>
    <col min="16" max="16" width="11" customWidth="1"/>
  </cols>
  <sheetData>
    <row r="1" spans="1:16" ht="21" x14ac:dyDescent="0.4">
      <c r="A1" s="1" t="s">
        <v>10</v>
      </c>
    </row>
    <row r="2" spans="1:16" x14ac:dyDescent="0.3">
      <c r="A2" s="2" t="s">
        <v>35</v>
      </c>
    </row>
    <row r="4" spans="1:16" ht="30" customHeight="1" x14ac:dyDescent="0.3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12</v>
      </c>
      <c r="O4" s="14" t="s">
        <v>49</v>
      </c>
      <c r="P4" s="14" t="s">
        <v>50</v>
      </c>
    </row>
    <row r="5" spans="1:16" ht="52.8" x14ac:dyDescent="0.3">
      <c r="A5" s="15">
        <v>1</v>
      </c>
      <c r="B5" s="15" t="str">
        <f>"L"&amp;IF(A5-'Start here'!$C$7&lt;0,"−","+")&amp;ABS(A5-'Start here'!$C$7)</f>
        <v>L−26</v>
      </c>
      <c r="C5" s="16">
        <f>'Start here'!$C$6+7*(A5-1)</f>
        <v>46307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54</v>
      </c>
      <c r="K5" s="15" t="s">
        <v>54</v>
      </c>
      <c r="L5" s="15" t="s">
        <v>57</v>
      </c>
      <c r="M5" s="15" t="s">
        <v>58</v>
      </c>
      <c r="N5" s="15">
        <f>COUNTIF(Tasks!$A:$A,A5)</f>
        <v>6</v>
      </c>
      <c r="O5" s="15">
        <f>COUNTIFS(Tasks!$A:$A,A5,Tasks!$F:$F,"✓")</f>
        <v>0</v>
      </c>
      <c r="P5" s="17">
        <f t="shared" ref="P5:P36" si="0">IF(N5=0,"",O5/N5)</f>
        <v>0</v>
      </c>
    </row>
    <row r="6" spans="1:16" ht="66" x14ac:dyDescent="0.3">
      <c r="A6" s="15">
        <v>2</v>
      </c>
      <c r="B6" s="15" t="str">
        <f>"L"&amp;IF(A6-'Start here'!$C$7&lt;0,"−","+")&amp;ABS(A6-'Start here'!$C$7)</f>
        <v>L−25</v>
      </c>
      <c r="C6" s="16">
        <f>'Start here'!$C$6+7*(A6-1)</f>
        <v>46314</v>
      </c>
      <c r="D6" s="15" t="s">
        <v>51</v>
      </c>
      <c r="E6" s="15" t="s">
        <v>59</v>
      </c>
      <c r="F6" s="15" t="s">
        <v>53</v>
      </c>
      <c r="G6" s="15" t="s">
        <v>60</v>
      </c>
      <c r="H6" s="15" t="s">
        <v>54</v>
      </c>
      <c r="I6" s="15" t="s">
        <v>54</v>
      </c>
      <c r="J6" s="15" t="s">
        <v>54</v>
      </c>
      <c r="K6" s="15" t="s">
        <v>54</v>
      </c>
      <c r="L6" s="15" t="s">
        <v>54</v>
      </c>
      <c r="M6" s="15" t="s">
        <v>61</v>
      </c>
      <c r="N6" s="15">
        <f>COUNTIF(Tasks!$A:$A,A6)</f>
        <v>4</v>
      </c>
      <c r="O6" s="15">
        <f>COUNTIFS(Tasks!$A:$A,A6,Tasks!$F:$F,"✓")</f>
        <v>0</v>
      </c>
      <c r="P6" s="17">
        <f t="shared" si="0"/>
        <v>0</v>
      </c>
    </row>
    <row r="7" spans="1:16" ht="39.6" x14ac:dyDescent="0.3">
      <c r="A7" s="15">
        <v>3</v>
      </c>
      <c r="B7" s="15" t="str">
        <f>"L"&amp;IF(A7-'Start here'!$C$7&lt;0,"−","+")&amp;ABS(A7-'Start here'!$C$7)</f>
        <v>L−24</v>
      </c>
      <c r="C7" s="16">
        <f>'Start here'!$C$6+7*(A7-1)</f>
        <v>46321</v>
      </c>
      <c r="D7" s="15" t="s">
        <v>51</v>
      </c>
      <c r="E7" s="15" t="s">
        <v>62</v>
      </c>
      <c r="F7" s="15" t="s">
        <v>53</v>
      </c>
      <c r="G7" s="15" t="s">
        <v>63</v>
      </c>
      <c r="H7" s="15" t="s">
        <v>54</v>
      </c>
      <c r="I7" s="15" t="s">
        <v>54</v>
      </c>
      <c r="J7" s="15" t="s">
        <v>54</v>
      </c>
      <c r="K7" s="15" t="s">
        <v>54</v>
      </c>
      <c r="L7" s="15" t="s">
        <v>54</v>
      </c>
      <c r="M7" s="15" t="s">
        <v>64</v>
      </c>
      <c r="N7" s="15">
        <f>COUNTIF(Tasks!$A:$A,A7)</f>
        <v>3</v>
      </c>
      <c r="O7" s="15">
        <f>COUNTIFS(Tasks!$A:$A,A7,Tasks!$F:$F,"✓")</f>
        <v>0</v>
      </c>
      <c r="P7" s="17">
        <f t="shared" si="0"/>
        <v>0</v>
      </c>
    </row>
    <row r="8" spans="1:16" ht="79.2" x14ac:dyDescent="0.3">
      <c r="A8" s="15">
        <v>4</v>
      </c>
      <c r="B8" s="15" t="str">
        <f>"L"&amp;IF(A8-'Start here'!$C$7&lt;0,"−","+")&amp;ABS(A8-'Start here'!$C$7)</f>
        <v>L−23</v>
      </c>
      <c r="C8" s="16">
        <f>'Start here'!$C$6+7*(A8-1)</f>
        <v>46328</v>
      </c>
      <c r="D8" s="15" t="s">
        <v>51</v>
      </c>
      <c r="E8" s="15" t="s">
        <v>65</v>
      </c>
      <c r="F8" s="15" t="s">
        <v>53</v>
      </c>
      <c r="G8" s="15" t="s">
        <v>54</v>
      </c>
      <c r="H8" s="15" t="s">
        <v>54</v>
      </c>
      <c r="I8" s="15" t="s">
        <v>54</v>
      </c>
      <c r="J8" s="15" t="s">
        <v>54</v>
      </c>
      <c r="K8" s="15" t="s">
        <v>54</v>
      </c>
      <c r="L8" s="15" t="s">
        <v>54</v>
      </c>
      <c r="M8" s="15" t="s">
        <v>66</v>
      </c>
      <c r="N8" s="15">
        <f>COUNTIF(Tasks!$A:$A,A8)</f>
        <v>4</v>
      </c>
      <c r="O8" s="15">
        <f>COUNTIFS(Tasks!$A:$A,A8,Tasks!$F:$F,"✓")</f>
        <v>0</v>
      </c>
      <c r="P8" s="17">
        <f t="shared" si="0"/>
        <v>0</v>
      </c>
    </row>
    <row r="9" spans="1:16" ht="39.6" x14ac:dyDescent="0.3">
      <c r="A9" s="18">
        <v>5</v>
      </c>
      <c r="B9" s="18" t="str">
        <f>"L"&amp;IF(A9-'Start here'!$C$7&lt;0,"−","+")&amp;ABS(A9-'Start here'!$C$7)</f>
        <v>L−22</v>
      </c>
      <c r="C9" s="19">
        <f>'Start here'!$C$6+7*(A9-1)</f>
        <v>46335</v>
      </c>
      <c r="D9" s="18" t="s">
        <v>67</v>
      </c>
      <c r="E9" s="18" t="s">
        <v>68</v>
      </c>
      <c r="F9" s="18" t="s">
        <v>53</v>
      </c>
      <c r="G9" s="15" t="s">
        <v>69</v>
      </c>
      <c r="H9" s="15" t="s">
        <v>70</v>
      </c>
      <c r="I9" s="15" t="s">
        <v>54</v>
      </c>
      <c r="J9" s="15" t="s">
        <v>54</v>
      </c>
      <c r="K9" s="15" t="s">
        <v>54</v>
      </c>
      <c r="L9" s="15" t="s">
        <v>54</v>
      </c>
      <c r="M9" s="15" t="s">
        <v>71</v>
      </c>
      <c r="N9" s="15">
        <f>COUNTIF(Tasks!$A:$A,A9)</f>
        <v>4</v>
      </c>
      <c r="O9" s="15">
        <f>COUNTIFS(Tasks!$A:$A,A9,Tasks!$F:$F,"✓")</f>
        <v>0</v>
      </c>
      <c r="P9" s="17">
        <f t="shared" si="0"/>
        <v>0</v>
      </c>
    </row>
    <row r="10" spans="1:16" ht="52.8" x14ac:dyDescent="0.3">
      <c r="A10" s="18">
        <v>6</v>
      </c>
      <c r="B10" s="18" t="str">
        <f>"L"&amp;IF(A10-'Start here'!$C$7&lt;0,"−","+")&amp;ABS(A10-'Start here'!$C$7)</f>
        <v>L−21</v>
      </c>
      <c r="C10" s="19">
        <f>'Start here'!$C$6+7*(A10-1)</f>
        <v>46342</v>
      </c>
      <c r="D10" s="18" t="s">
        <v>67</v>
      </c>
      <c r="E10" s="18" t="s">
        <v>72</v>
      </c>
      <c r="F10" s="18" t="s">
        <v>53</v>
      </c>
      <c r="G10" s="15" t="s">
        <v>69</v>
      </c>
      <c r="H10" s="15" t="s">
        <v>54</v>
      </c>
      <c r="I10" s="15" t="s">
        <v>73</v>
      </c>
      <c r="J10" s="15" t="s">
        <v>54</v>
      </c>
      <c r="K10" s="15" t="s">
        <v>54</v>
      </c>
      <c r="L10" s="15" t="s">
        <v>54</v>
      </c>
      <c r="M10" s="15" t="s">
        <v>74</v>
      </c>
      <c r="N10" s="15">
        <f>COUNTIF(Tasks!$A:$A,A10)</f>
        <v>5</v>
      </c>
      <c r="O10" s="15">
        <f>COUNTIFS(Tasks!$A:$A,A10,Tasks!$F:$F,"✓")</f>
        <v>0</v>
      </c>
      <c r="P10" s="17">
        <f t="shared" si="0"/>
        <v>0</v>
      </c>
    </row>
    <row r="11" spans="1:16" ht="66" x14ac:dyDescent="0.3">
      <c r="A11" s="18">
        <v>7</v>
      </c>
      <c r="B11" s="18" t="str">
        <f>"L"&amp;IF(A11-'Start here'!$C$7&lt;0,"−","+")&amp;ABS(A11-'Start here'!$C$7)</f>
        <v>L−20</v>
      </c>
      <c r="C11" s="19">
        <f>'Start here'!$C$6+7*(A11-1)</f>
        <v>46349</v>
      </c>
      <c r="D11" s="18" t="s">
        <v>67</v>
      </c>
      <c r="E11" s="18" t="s">
        <v>75</v>
      </c>
      <c r="F11" s="18" t="s">
        <v>53</v>
      </c>
      <c r="G11" s="15" t="s">
        <v>69</v>
      </c>
      <c r="H11" s="15" t="s">
        <v>76</v>
      </c>
      <c r="I11" s="15" t="s">
        <v>54</v>
      </c>
      <c r="J11" s="15" t="s">
        <v>54</v>
      </c>
      <c r="K11" s="15" t="s">
        <v>54</v>
      </c>
      <c r="L11" s="15" t="s">
        <v>54</v>
      </c>
      <c r="M11" s="15" t="s">
        <v>77</v>
      </c>
      <c r="N11" s="15">
        <f>COUNTIF(Tasks!$A:$A,A11)</f>
        <v>5</v>
      </c>
      <c r="O11" s="15">
        <f>COUNTIFS(Tasks!$A:$A,A11,Tasks!$F:$F,"✓")</f>
        <v>0</v>
      </c>
      <c r="P11" s="17">
        <f t="shared" si="0"/>
        <v>0</v>
      </c>
    </row>
    <row r="12" spans="1:16" ht="66" x14ac:dyDescent="0.3">
      <c r="A12" s="18">
        <v>8</v>
      </c>
      <c r="B12" s="18" t="str">
        <f>"L"&amp;IF(A12-'Start here'!$C$7&lt;0,"−","+")&amp;ABS(A12-'Start here'!$C$7)</f>
        <v>L−19</v>
      </c>
      <c r="C12" s="19">
        <f>'Start here'!$C$6+7*(A12-1)</f>
        <v>46356</v>
      </c>
      <c r="D12" s="18" t="s">
        <v>67</v>
      </c>
      <c r="E12" s="18" t="s">
        <v>78</v>
      </c>
      <c r="F12" s="18" t="s">
        <v>53</v>
      </c>
      <c r="G12" s="15" t="s">
        <v>69</v>
      </c>
      <c r="H12" s="15" t="s">
        <v>54</v>
      </c>
      <c r="I12" s="15" t="s">
        <v>54</v>
      </c>
      <c r="J12" s="15" t="s">
        <v>54</v>
      </c>
      <c r="K12" s="15" t="s">
        <v>54</v>
      </c>
      <c r="L12" s="15" t="s">
        <v>54</v>
      </c>
      <c r="M12" s="15" t="s">
        <v>79</v>
      </c>
      <c r="N12" s="15">
        <f>COUNTIF(Tasks!$A:$A,A12)</f>
        <v>5</v>
      </c>
      <c r="O12" s="15">
        <f>COUNTIFS(Tasks!$A:$A,A12,Tasks!$F:$F,"✓")</f>
        <v>0</v>
      </c>
      <c r="P12" s="17">
        <f t="shared" si="0"/>
        <v>0</v>
      </c>
    </row>
    <row r="13" spans="1:16" ht="52.8" x14ac:dyDescent="0.3">
      <c r="A13" s="15">
        <v>9</v>
      </c>
      <c r="B13" s="15" t="str">
        <f>"L"&amp;IF(A13-'Start here'!$C$7&lt;0,"−","+")&amp;ABS(A13-'Start here'!$C$7)</f>
        <v>L−18</v>
      </c>
      <c r="C13" s="16">
        <f>'Start here'!$C$6+7*(A13-1)</f>
        <v>46363</v>
      </c>
      <c r="D13" s="15" t="s">
        <v>80</v>
      </c>
      <c r="E13" s="15" t="s">
        <v>81</v>
      </c>
      <c r="F13" s="15" t="s">
        <v>82</v>
      </c>
      <c r="G13" s="15" t="s">
        <v>83</v>
      </c>
      <c r="H13" s="15" t="s">
        <v>84</v>
      </c>
      <c r="I13" s="15" t="s">
        <v>54</v>
      </c>
      <c r="J13" s="15" t="s">
        <v>54</v>
      </c>
      <c r="K13" s="15" t="s">
        <v>54</v>
      </c>
      <c r="L13" s="15" t="s">
        <v>54</v>
      </c>
      <c r="M13" s="15" t="s">
        <v>54</v>
      </c>
      <c r="N13" s="15">
        <f>COUNTIF(Tasks!$A:$A,A13)</f>
        <v>3</v>
      </c>
      <c r="O13" s="15">
        <f>COUNTIFS(Tasks!$A:$A,A13,Tasks!$F:$F,"✓")</f>
        <v>0</v>
      </c>
      <c r="P13" s="17">
        <f t="shared" si="0"/>
        <v>0</v>
      </c>
    </row>
    <row r="14" spans="1:16" ht="52.8" x14ac:dyDescent="0.3">
      <c r="A14" s="15">
        <v>10</v>
      </c>
      <c r="B14" s="15" t="str">
        <f>"L"&amp;IF(A14-'Start here'!$C$7&lt;0,"−","+")&amp;ABS(A14-'Start here'!$C$7)</f>
        <v>L−17</v>
      </c>
      <c r="C14" s="16">
        <f>'Start here'!$C$6+7*(A14-1)</f>
        <v>46370</v>
      </c>
      <c r="D14" s="15" t="s">
        <v>80</v>
      </c>
      <c r="E14" s="15" t="s">
        <v>85</v>
      </c>
      <c r="F14" s="15" t="s">
        <v>82</v>
      </c>
      <c r="G14" s="15" t="s">
        <v>86</v>
      </c>
      <c r="H14" s="15" t="s">
        <v>87</v>
      </c>
      <c r="I14" s="15" t="s">
        <v>54</v>
      </c>
      <c r="J14" s="15" t="s">
        <v>54</v>
      </c>
      <c r="K14" s="15" t="s">
        <v>88</v>
      </c>
      <c r="L14" s="15" t="s">
        <v>54</v>
      </c>
      <c r="M14" s="15" t="s">
        <v>54</v>
      </c>
      <c r="N14" s="15">
        <f>COUNTIF(Tasks!$A:$A,A14)</f>
        <v>4</v>
      </c>
      <c r="O14" s="15">
        <f>COUNTIFS(Tasks!$A:$A,A14,Tasks!$F:$F,"✓")</f>
        <v>0</v>
      </c>
      <c r="P14" s="17">
        <f t="shared" si="0"/>
        <v>0</v>
      </c>
    </row>
    <row r="15" spans="1:16" ht="26.4" x14ac:dyDescent="0.3">
      <c r="A15" s="15">
        <v>11</v>
      </c>
      <c r="B15" s="15" t="str">
        <f>"L"&amp;IF(A15-'Start here'!$C$7&lt;0,"−","+")&amp;ABS(A15-'Start here'!$C$7)</f>
        <v>L−16</v>
      </c>
      <c r="C15" s="16">
        <f>'Start here'!$C$6+7*(A15-1)</f>
        <v>46377</v>
      </c>
      <c r="D15" s="15" t="s">
        <v>80</v>
      </c>
      <c r="E15" s="15" t="s">
        <v>89</v>
      </c>
      <c r="F15" s="15" t="s">
        <v>82</v>
      </c>
      <c r="G15" s="15" t="s">
        <v>90</v>
      </c>
      <c r="H15" s="15" t="s">
        <v>91</v>
      </c>
      <c r="I15" s="15" t="s">
        <v>54</v>
      </c>
      <c r="J15" s="15" t="s">
        <v>54</v>
      </c>
      <c r="K15" s="15" t="s">
        <v>54</v>
      </c>
      <c r="L15" s="15" t="s">
        <v>54</v>
      </c>
      <c r="M15" s="15" t="s">
        <v>92</v>
      </c>
      <c r="N15" s="15">
        <f>COUNTIF(Tasks!$A:$A,A15)</f>
        <v>4</v>
      </c>
      <c r="O15" s="15">
        <f>COUNTIFS(Tasks!$A:$A,A15,Tasks!$F:$F,"✓")</f>
        <v>0</v>
      </c>
      <c r="P15" s="17">
        <f t="shared" si="0"/>
        <v>0</v>
      </c>
    </row>
    <row r="16" spans="1:16" ht="26.4" x14ac:dyDescent="0.3">
      <c r="A16" s="15">
        <v>12</v>
      </c>
      <c r="B16" s="15" t="str">
        <f>"L"&amp;IF(A16-'Start here'!$C$7&lt;0,"−","+")&amp;ABS(A16-'Start here'!$C$7)</f>
        <v>L−15</v>
      </c>
      <c r="C16" s="16">
        <f>'Start here'!$C$6+7*(A16-1)</f>
        <v>46384</v>
      </c>
      <c r="D16" s="15" t="s">
        <v>80</v>
      </c>
      <c r="E16" s="15" t="s">
        <v>93</v>
      </c>
      <c r="F16" s="15" t="s">
        <v>82</v>
      </c>
      <c r="G16" s="15" t="s">
        <v>90</v>
      </c>
      <c r="H16" s="15" t="s">
        <v>54</v>
      </c>
      <c r="I16" s="15" t="s">
        <v>54</v>
      </c>
      <c r="J16" s="15" t="s">
        <v>54</v>
      </c>
      <c r="K16" s="15" t="s">
        <v>54</v>
      </c>
      <c r="L16" s="15" t="s">
        <v>54</v>
      </c>
      <c r="M16" s="15" t="s">
        <v>94</v>
      </c>
      <c r="N16" s="15">
        <f>COUNTIF(Tasks!$A:$A,A16)</f>
        <v>3</v>
      </c>
      <c r="O16" s="15">
        <f>COUNTIFS(Tasks!$A:$A,A16,Tasks!$F:$F,"✓")</f>
        <v>0</v>
      </c>
      <c r="P16" s="17">
        <f t="shared" si="0"/>
        <v>0</v>
      </c>
    </row>
    <row r="17" spans="1:16" ht="39.6" x14ac:dyDescent="0.3">
      <c r="A17" s="15">
        <v>13</v>
      </c>
      <c r="B17" s="15" t="str">
        <f>"L"&amp;IF(A17-'Start here'!$C$7&lt;0,"−","+")&amp;ABS(A17-'Start here'!$C$7)</f>
        <v>L−14</v>
      </c>
      <c r="C17" s="16">
        <f>'Start here'!$C$6+7*(A17-1)</f>
        <v>46391</v>
      </c>
      <c r="D17" s="15" t="s">
        <v>80</v>
      </c>
      <c r="E17" s="20" t="s">
        <v>95</v>
      </c>
      <c r="F17" s="15" t="s">
        <v>82</v>
      </c>
      <c r="G17" s="15" t="s">
        <v>96</v>
      </c>
      <c r="H17" s="15" t="s">
        <v>97</v>
      </c>
      <c r="I17" s="15" t="s">
        <v>54</v>
      </c>
      <c r="J17" s="15" t="s">
        <v>54</v>
      </c>
      <c r="K17" s="15" t="s">
        <v>98</v>
      </c>
      <c r="L17" s="15" t="s">
        <v>99</v>
      </c>
      <c r="M17" s="15" t="s">
        <v>100</v>
      </c>
      <c r="N17" s="15">
        <f>COUNTIF(Tasks!$A:$A,A17)</f>
        <v>6</v>
      </c>
      <c r="O17" s="15">
        <f>COUNTIFS(Tasks!$A:$A,A17,Tasks!$F:$F,"✓")</f>
        <v>0</v>
      </c>
      <c r="P17" s="17">
        <f t="shared" si="0"/>
        <v>0</v>
      </c>
    </row>
    <row r="18" spans="1:16" ht="39.6" x14ac:dyDescent="0.3">
      <c r="A18" s="18">
        <v>14</v>
      </c>
      <c r="B18" s="18" t="str">
        <f>"L"&amp;IF(A18-'Start here'!$C$7&lt;0,"−","+")&amp;ABS(A18-'Start here'!$C$7)</f>
        <v>L−13</v>
      </c>
      <c r="C18" s="19">
        <f>'Start here'!$C$6+7*(A18-1)</f>
        <v>46398</v>
      </c>
      <c r="D18" s="18" t="s">
        <v>101</v>
      </c>
      <c r="E18" s="18" t="s">
        <v>102</v>
      </c>
      <c r="F18" s="18" t="s">
        <v>103</v>
      </c>
      <c r="G18" s="15" t="s">
        <v>86</v>
      </c>
      <c r="H18" s="15" t="s">
        <v>54</v>
      </c>
      <c r="I18" s="15" t="s">
        <v>54</v>
      </c>
      <c r="J18" s="15" t="s">
        <v>54</v>
      </c>
      <c r="K18" s="15" t="s">
        <v>104</v>
      </c>
      <c r="L18" s="15" t="s">
        <v>54</v>
      </c>
      <c r="M18" s="15" t="s">
        <v>105</v>
      </c>
      <c r="N18" s="15">
        <f>COUNTIF(Tasks!$A:$A,A18)</f>
        <v>4</v>
      </c>
      <c r="O18" s="15">
        <f>COUNTIFS(Tasks!$A:$A,A18,Tasks!$F:$F,"✓")</f>
        <v>0</v>
      </c>
      <c r="P18" s="17">
        <f t="shared" si="0"/>
        <v>0</v>
      </c>
    </row>
    <row r="19" spans="1:16" ht="39.6" x14ac:dyDescent="0.3">
      <c r="A19" s="18">
        <v>15</v>
      </c>
      <c r="B19" s="18" t="str">
        <f>"L"&amp;IF(A19-'Start here'!$C$7&lt;0,"−","+")&amp;ABS(A19-'Start here'!$C$7)</f>
        <v>L−12</v>
      </c>
      <c r="C19" s="19">
        <f>'Start here'!$C$6+7*(A19-1)</f>
        <v>46405</v>
      </c>
      <c r="D19" s="18" t="s">
        <v>101</v>
      </c>
      <c r="E19" s="18" t="s">
        <v>106</v>
      </c>
      <c r="F19" s="18" t="s">
        <v>103</v>
      </c>
      <c r="G19" s="15" t="s">
        <v>86</v>
      </c>
      <c r="H19" s="15" t="s">
        <v>107</v>
      </c>
      <c r="I19" s="15" t="s">
        <v>54</v>
      </c>
      <c r="J19" s="15" t="s">
        <v>54</v>
      </c>
      <c r="K19" s="15" t="s">
        <v>54</v>
      </c>
      <c r="L19" s="15" t="s">
        <v>54</v>
      </c>
      <c r="M19" s="15" t="s">
        <v>108</v>
      </c>
      <c r="N19" s="15">
        <f>COUNTIF(Tasks!$A:$A,A19)</f>
        <v>4</v>
      </c>
      <c r="O19" s="15">
        <f>COUNTIFS(Tasks!$A:$A,A19,Tasks!$F:$F,"✓")</f>
        <v>0</v>
      </c>
      <c r="P19" s="17">
        <f t="shared" si="0"/>
        <v>0</v>
      </c>
    </row>
    <row r="20" spans="1:16" ht="26.4" x14ac:dyDescent="0.3">
      <c r="A20" s="18">
        <v>16</v>
      </c>
      <c r="B20" s="18" t="str">
        <f>"L"&amp;IF(A20-'Start here'!$C$7&lt;0,"−","+")&amp;ABS(A20-'Start here'!$C$7)</f>
        <v>L−11</v>
      </c>
      <c r="C20" s="19">
        <f>'Start here'!$C$6+7*(A20-1)</f>
        <v>46412</v>
      </c>
      <c r="D20" s="18" t="s">
        <v>101</v>
      </c>
      <c r="E20" s="21" t="s">
        <v>109</v>
      </c>
      <c r="F20" s="18" t="s">
        <v>103</v>
      </c>
      <c r="G20" s="15" t="s">
        <v>86</v>
      </c>
      <c r="H20" s="15" t="s">
        <v>110</v>
      </c>
      <c r="I20" s="15" t="s">
        <v>54</v>
      </c>
      <c r="J20" s="15" t="s">
        <v>54</v>
      </c>
      <c r="K20" s="15" t="s">
        <v>111</v>
      </c>
      <c r="L20" s="15" t="s">
        <v>112</v>
      </c>
      <c r="M20" s="15" t="s">
        <v>108</v>
      </c>
      <c r="N20" s="15">
        <f>COUNTIF(Tasks!$A:$A,A20)</f>
        <v>6</v>
      </c>
      <c r="O20" s="15">
        <f>COUNTIFS(Tasks!$A:$A,A20,Tasks!$F:$F,"✓")</f>
        <v>0</v>
      </c>
      <c r="P20" s="17">
        <f t="shared" si="0"/>
        <v>0</v>
      </c>
    </row>
    <row r="21" spans="1:16" ht="52.8" x14ac:dyDescent="0.3">
      <c r="A21" s="18">
        <v>17</v>
      </c>
      <c r="B21" s="18" t="str">
        <f>"L"&amp;IF(A21-'Start here'!$C$7&lt;0,"−","+")&amp;ABS(A21-'Start here'!$C$7)</f>
        <v>L−10</v>
      </c>
      <c r="C21" s="19">
        <f>'Start here'!$C$6+7*(A21-1)</f>
        <v>46419</v>
      </c>
      <c r="D21" s="18" t="s">
        <v>101</v>
      </c>
      <c r="E21" s="18" t="s">
        <v>106</v>
      </c>
      <c r="F21" s="18" t="s">
        <v>103</v>
      </c>
      <c r="G21" s="15" t="s">
        <v>86</v>
      </c>
      <c r="H21" s="15" t="s">
        <v>113</v>
      </c>
      <c r="I21" s="15" t="s">
        <v>54</v>
      </c>
      <c r="J21" s="15" t="s">
        <v>54</v>
      </c>
      <c r="K21" s="15" t="s">
        <v>54</v>
      </c>
      <c r="L21" s="15" t="s">
        <v>54</v>
      </c>
      <c r="M21" s="15" t="s">
        <v>114</v>
      </c>
      <c r="N21" s="15">
        <f>COUNTIF(Tasks!$A:$A,A21)</f>
        <v>5</v>
      </c>
      <c r="O21" s="15">
        <f>COUNTIFS(Tasks!$A:$A,A21,Tasks!$F:$F,"✓")</f>
        <v>0</v>
      </c>
      <c r="P21" s="17">
        <f t="shared" si="0"/>
        <v>0</v>
      </c>
    </row>
    <row r="22" spans="1:16" ht="52.8" x14ac:dyDescent="0.3">
      <c r="A22" s="15">
        <v>18</v>
      </c>
      <c r="B22" s="15" t="str">
        <f>"L"&amp;IF(A22-'Start here'!$C$7&lt;0,"−","+")&amp;ABS(A22-'Start here'!$C$7)</f>
        <v>L−9</v>
      </c>
      <c r="C22" s="16">
        <f>'Start here'!$C$6+7*(A22-1)</f>
        <v>46426</v>
      </c>
      <c r="D22" s="15" t="s">
        <v>115</v>
      </c>
      <c r="E22" s="15" t="s">
        <v>116</v>
      </c>
      <c r="F22" s="15" t="s">
        <v>117</v>
      </c>
      <c r="G22" s="15" t="s">
        <v>118</v>
      </c>
      <c r="H22" s="15" t="s">
        <v>54</v>
      </c>
      <c r="I22" s="15" t="s">
        <v>119</v>
      </c>
      <c r="J22" s="15" t="s">
        <v>120</v>
      </c>
      <c r="K22" s="15" t="s">
        <v>121</v>
      </c>
      <c r="L22" s="15" t="s">
        <v>54</v>
      </c>
      <c r="M22" s="15" t="s">
        <v>54</v>
      </c>
      <c r="N22" s="15">
        <f>COUNTIF(Tasks!$A:$A,A22)</f>
        <v>5</v>
      </c>
      <c r="O22" s="15">
        <f>COUNTIFS(Tasks!$A:$A,A22,Tasks!$F:$F,"✓")</f>
        <v>0</v>
      </c>
      <c r="P22" s="17">
        <f t="shared" si="0"/>
        <v>0</v>
      </c>
    </row>
    <row r="23" spans="1:16" ht="26.4" x14ac:dyDescent="0.3">
      <c r="A23" s="15">
        <v>19</v>
      </c>
      <c r="B23" s="15" t="str">
        <f>"L"&amp;IF(A23-'Start here'!$C$7&lt;0,"−","+")&amp;ABS(A23-'Start here'!$C$7)</f>
        <v>L−8</v>
      </c>
      <c r="C23" s="16">
        <f>'Start here'!$C$6+7*(A23-1)</f>
        <v>46433</v>
      </c>
      <c r="D23" s="15" t="s">
        <v>115</v>
      </c>
      <c r="E23" s="15" t="s">
        <v>122</v>
      </c>
      <c r="F23" s="15" t="s">
        <v>117</v>
      </c>
      <c r="G23" s="15" t="s">
        <v>86</v>
      </c>
      <c r="H23" s="15" t="s">
        <v>54</v>
      </c>
      <c r="I23" s="15" t="s">
        <v>123</v>
      </c>
      <c r="J23" s="15" t="s">
        <v>124</v>
      </c>
      <c r="K23" s="15" t="s">
        <v>54</v>
      </c>
      <c r="L23" s="15" t="s">
        <v>54</v>
      </c>
      <c r="M23" s="15" t="s">
        <v>54</v>
      </c>
      <c r="N23" s="15">
        <f>COUNTIF(Tasks!$A:$A,A23)</f>
        <v>4</v>
      </c>
      <c r="O23" s="15">
        <f>COUNTIFS(Tasks!$A:$A,A23,Tasks!$F:$F,"✓")</f>
        <v>0</v>
      </c>
      <c r="P23" s="17">
        <f t="shared" si="0"/>
        <v>0</v>
      </c>
    </row>
    <row r="24" spans="1:16" ht="26.4" x14ac:dyDescent="0.3">
      <c r="A24" s="15">
        <v>20</v>
      </c>
      <c r="B24" s="15" t="str">
        <f>"L"&amp;IF(A24-'Start here'!$C$7&lt;0,"−","+")&amp;ABS(A24-'Start here'!$C$7)</f>
        <v>L−7</v>
      </c>
      <c r="C24" s="16">
        <f>'Start here'!$C$6+7*(A24-1)</f>
        <v>46440</v>
      </c>
      <c r="D24" s="15" t="s">
        <v>115</v>
      </c>
      <c r="E24" s="15" t="s">
        <v>125</v>
      </c>
      <c r="F24" s="15" t="s">
        <v>117</v>
      </c>
      <c r="G24" s="15" t="s">
        <v>86</v>
      </c>
      <c r="H24" s="15" t="s">
        <v>54</v>
      </c>
      <c r="I24" s="15" t="s">
        <v>126</v>
      </c>
      <c r="J24" s="15" t="s">
        <v>127</v>
      </c>
      <c r="K24" s="15" t="s">
        <v>54</v>
      </c>
      <c r="L24" s="15" t="s">
        <v>128</v>
      </c>
      <c r="M24" s="15" t="s">
        <v>54</v>
      </c>
      <c r="N24" s="15">
        <f>COUNTIF(Tasks!$A:$A,A24)</f>
        <v>5</v>
      </c>
      <c r="O24" s="15">
        <f>COUNTIFS(Tasks!$A:$A,A24,Tasks!$F:$F,"✓")</f>
        <v>0</v>
      </c>
      <c r="P24" s="17">
        <f t="shared" si="0"/>
        <v>0</v>
      </c>
    </row>
    <row r="25" spans="1:16" ht="26.4" x14ac:dyDescent="0.3">
      <c r="A25" s="15">
        <v>21</v>
      </c>
      <c r="B25" s="15" t="str">
        <f>"L"&amp;IF(A25-'Start here'!$C$7&lt;0,"−","+")&amp;ABS(A25-'Start here'!$C$7)</f>
        <v>L−6</v>
      </c>
      <c r="C25" s="16">
        <f>'Start here'!$C$6+7*(A25-1)</f>
        <v>46447</v>
      </c>
      <c r="D25" s="15" t="s">
        <v>115</v>
      </c>
      <c r="E25" s="15" t="s">
        <v>129</v>
      </c>
      <c r="F25" s="15" t="s">
        <v>117</v>
      </c>
      <c r="G25" s="15" t="s">
        <v>130</v>
      </c>
      <c r="H25" s="15" t="s">
        <v>131</v>
      </c>
      <c r="I25" s="15" t="s">
        <v>54</v>
      </c>
      <c r="J25" s="15" t="s">
        <v>54</v>
      </c>
      <c r="K25" s="15" t="s">
        <v>54</v>
      </c>
      <c r="L25" s="15" t="s">
        <v>132</v>
      </c>
      <c r="M25" s="15" t="s">
        <v>54</v>
      </c>
      <c r="N25" s="15">
        <f>COUNTIF(Tasks!$A:$A,A25)</f>
        <v>4</v>
      </c>
      <c r="O25" s="15">
        <f>COUNTIFS(Tasks!$A:$A,A25,Tasks!$F:$F,"✓")</f>
        <v>0</v>
      </c>
      <c r="P25" s="17">
        <f t="shared" si="0"/>
        <v>0</v>
      </c>
    </row>
    <row r="26" spans="1:16" ht="39.6" x14ac:dyDescent="0.3">
      <c r="A26" s="15">
        <v>22</v>
      </c>
      <c r="B26" s="15" t="str">
        <f>"L"&amp;IF(A26-'Start here'!$C$7&lt;0,"−","+")&amp;ABS(A26-'Start here'!$C$7)</f>
        <v>L−5</v>
      </c>
      <c r="C26" s="16">
        <f>'Start here'!$C$6+7*(A26-1)</f>
        <v>46454</v>
      </c>
      <c r="D26" s="15" t="s">
        <v>115</v>
      </c>
      <c r="E26" s="15" t="s">
        <v>133</v>
      </c>
      <c r="F26" s="15" t="s">
        <v>117</v>
      </c>
      <c r="G26" s="15" t="s">
        <v>86</v>
      </c>
      <c r="H26" s="15" t="s">
        <v>54</v>
      </c>
      <c r="I26" s="15" t="s">
        <v>54</v>
      </c>
      <c r="J26" s="15" t="s">
        <v>54</v>
      </c>
      <c r="K26" s="15" t="s">
        <v>54</v>
      </c>
      <c r="L26" s="15" t="s">
        <v>54</v>
      </c>
      <c r="M26" s="15" t="s">
        <v>134</v>
      </c>
      <c r="N26" s="15">
        <f>COUNTIF(Tasks!$A:$A,A26)</f>
        <v>4</v>
      </c>
      <c r="O26" s="15">
        <f>COUNTIFS(Tasks!$A:$A,A26,Tasks!$F:$F,"✓")</f>
        <v>0</v>
      </c>
      <c r="P26" s="17">
        <f t="shared" si="0"/>
        <v>0</v>
      </c>
    </row>
    <row r="27" spans="1:16" ht="52.8" x14ac:dyDescent="0.3">
      <c r="A27" s="18">
        <v>23</v>
      </c>
      <c r="B27" s="18" t="str">
        <f>"L"&amp;IF(A27-'Start here'!$C$7&lt;0,"−","+")&amp;ABS(A27-'Start here'!$C$7)</f>
        <v>L−4</v>
      </c>
      <c r="C27" s="19">
        <f>'Start here'!$C$6+7*(A27-1)</f>
        <v>46461</v>
      </c>
      <c r="D27" s="18" t="s">
        <v>135</v>
      </c>
      <c r="E27" s="18" t="s">
        <v>136</v>
      </c>
      <c r="F27" s="18" t="s">
        <v>103</v>
      </c>
      <c r="G27" s="15" t="s">
        <v>86</v>
      </c>
      <c r="H27" s="15" t="s">
        <v>137</v>
      </c>
      <c r="I27" s="15" t="s">
        <v>54</v>
      </c>
      <c r="J27" s="15" t="s">
        <v>54</v>
      </c>
      <c r="K27" s="15" t="s">
        <v>138</v>
      </c>
      <c r="L27" s="15" t="s">
        <v>139</v>
      </c>
      <c r="M27" s="15" t="s">
        <v>140</v>
      </c>
      <c r="N27" s="15">
        <f>COUNTIF(Tasks!$A:$A,A27)</f>
        <v>7</v>
      </c>
      <c r="O27" s="15">
        <f>COUNTIFS(Tasks!$A:$A,A27,Tasks!$F:$F,"✓")</f>
        <v>0</v>
      </c>
      <c r="P27" s="17">
        <f t="shared" si="0"/>
        <v>0</v>
      </c>
    </row>
    <row r="28" spans="1:16" ht="26.4" x14ac:dyDescent="0.3">
      <c r="A28" s="18">
        <v>24</v>
      </c>
      <c r="B28" s="18" t="str">
        <f>"L"&amp;IF(A28-'Start here'!$C$7&lt;0,"−","+")&amp;ABS(A28-'Start here'!$C$7)</f>
        <v>L−3</v>
      </c>
      <c r="C28" s="19">
        <f>'Start here'!$C$6+7*(A28-1)</f>
        <v>46468</v>
      </c>
      <c r="D28" s="18" t="s">
        <v>135</v>
      </c>
      <c r="E28" s="18" t="s">
        <v>141</v>
      </c>
      <c r="F28" s="18" t="s">
        <v>103</v>
      </c>
      <c r="G28" s="15" t="s">
        <v>142</v>
      </c>
      <c r="H28" s="15" t="s">
        <v>143</v>
      </c>
      <c r="I28" s="15" t="s">
        <v>144</v>
      </c>
      <c r="J28" s="15" t="s">
        <v>54</v>
      </c>
      <c r="K28" s="15" t="s">
        <v>54</v>
      </c>
      <c r="L28" s="15" t="s">
        <v>54</v>
      </c>
      <c r="M28" s="15" t="s">
        <v>54</v>
      </c>
      <c r="N28" s="15">
        <f>COUNTIF(Tasks!$A:$A,A28)</f>
        <v>4</v>
      </c>
      <c r="O28" s="15">
        <f>COUNTIFS(Tasks!$A:$A,A28,Tasks!$F:$F,"✓")</f>
        <v>0</v>
      </c>
      <c r="P28" s="17">
        <f t="shared" si="0"/>
        <v>0</v>
      </c>
    </row>
    <row r="29" spans="1:16" ht="52.8" x14ac:dyDescent="0.3">
      <c r="A29" s="18">
        <v>25</v>
      </c>
      <c r="B29" s="18" t="str">
        <f>"L"&amp;IF(A29-'Start here'!$C$7&lt;0,"−","+")&amp;ABS(A29-'Start here'!$C$7)</f>
        <v>L−2</v>
      </c>
      <c r="C29" s="19">
        <f>'Start here'!$C$6+7*(A29-1)</f>
        <v>46475</v>
      </c>
      <c r="D29" s="18" t="s">
        <v>135</v>
      </c>
      <c r="E29" s="18" t="s">
        <v>145</v>
      </c>
      <c r="F29" s="18" t="s">
        <v>103</v>
      </c>
      <c r="G29" s="15" t="s">
        <v>86</v>
      </c>
      <c r="H29" s="15" t="s">
        <v>146</v>
      </c>
      <c r="I29" s="15" t="s">
        <v>54</v>
      </c>
      <c r="J29" s="15" t="s">
        <v>54</v>
      </c>
      <c r="K29" s="15" t="s">
        <v>54</v>
      </c>
      <c r="L29" s="15" t="s">
        <v>54</v>
      </c>
      <c r="M29" s="15" t="s">
        <v>147</v>
      </c>
      <c r="N29" s="15">
        <f>COUNTIF(Tasks!$A:$A,A29)</f>
        <v>5</v>
      </c>
      <c r="O29" s="15">
        <f>COUNTIFS(Tasks!$A:$A,A29,Tasks!$F:$F,"✓")</f>
        <v>0</v>
      </c>
      <c r="P29" s="17">
        <f t="shared" si="0"/>
        <v>0</v>
      </c>
    </row>
    <row r="30" spans="1:16" ht="39.6" x14ac:dyDescent="0.3">
      <c r="A30" s="18">
        <v>26</v>
      </c>
      <c r="B30" s="18" t="str">
        <f>"L"&amp;IF(A30-'Start here'!$C$7&lt;0,"−","+")&amp;ABS(A30-'Start here'!$C$7)</f>
        <v>L−1</v>
      </c>
      <c r="C30" s="19">
        <f>'Start here'!$C$6+7*(A30-1)</f>
        <v>46482</v>
      </c>
      <c r="D30" s="18" t="s">
        <v>135</v>
      </c>
      <c r="E30" s="18" t="s">
        <v>148</v>
      </c>
      <c r="F30" s="18" t="s">
        <v>103</v>
      </c>
      <c r="G30" s="15" t="s">
        <v>86</v>
      </c>
      <c r="H30" s="15" t="s">
        <v>149</v>
      </c>
      <c r="I30" s="15" t="s">
        <v>54</v>
      </c>
      <c r="J30" s="15" t="s">
        <v>54</v>
      </c>
      <c r="K30" s="15" t="s">
        <v>150</v>
      </c>
      <c r="L30" s="15" t="s">
        <v>151</v>
      </c>
      <c r="M30" s="15" t="s">
        <v>54</v>
      </c>
      <c r="N30" s="15">
        <f>COUNTIF(Tasks!$A:$A,A30)</f>
        <v>5</v>
      </c>
      <c r="O30" s="15">
        <f>COUNTIFS(Tasks!$A:$A,A30,Tasks!$F:$F,"✓")</f>
        <v>0</v>
      </c>
      <c r="P30" s="17">
        <f t="shared" si="0"/>
        <v>0</v>
      </c>
    </row>
    <row r="31" spans="1:16" ht="39.6" x14ac:dyDescent="0.3">
      <c r="A31" s="15">
        <v>27</v>
      </c>
      <c r="B31" s="15" t="str">
        <f>"L"&amp;IF(A31-'Start here'!$C$7&lt;0,"−","+")&amp;ABS(A31-'Start here'!$C$7)</f>
        <v>L+0</v>
      </c>
      <c r="C31" s="16">
        <f>'Start here'!$C$6+7*(A31-1)</f>
        <v>46489</v>
      </c>
      <c r="D31" s="15" t="s">
        <v>152</v>
      </c>
      <c r="E31" s="20" t="s">
        <v>153</v>
      </c>
      <c r="F31" s="15" t="s">
        <v>154</v>
      </c>
      <c r="G31" s="15" t="s">
        <v>155</v>
      </c>
      <c r="H31" s="15" t="s">
        <v>156</v>
      </c>
      <c r="I31" s="15" t="s">
        <v>54</v>
      </c>
      <c r="J31" s="15" t="s">
        <v>54</v>
      </c>
      <c r="K31" s="15" t="s">
        <v>157</v>
      </c>
      <c r="L31" s="15" t="s">
        <v>158</v>
      </c>
      <c r="M31" s="15" t="s">
        <v>159</v>
      </c>
      <c r="N31" s="15">
        <f>COUNTIF(Tasks!$A:$A,A31)</f>
        <v>7</v>
      </c>
      <c r="O31" s="15">
        <f>COUNTIFS(Tasks!$A:$A,A31,Tasks!$F:$F,"✓")</f>
        <v>0</v>
      </c>
      <c r="P31" s="17">
        <f t="shared" si="0"/>
        <v>0</v>
      </c>
    </row>
    <row r="32" spans="1:16" ht="39.6" x14ac:dyDescent="0.3">
      <c r="A32" s="15">
        <v>28</v>
      </c>
      <c r="B32" s="15" t="str">
        <f>"L"&amp;IF(A32-'Start here'!$C$7&lt;0,"−","+")&amp;ABS(A32-'Start here'!$C$7)</f>
        <v>L+1</v>
      </c>
      <c r="C32" s="16">
        <f>'Start here'!$C$6+7*(A32-1)</f>
        <v>46496</v>
      </c>
      <c r="D32" s="15" t="s">
        <v>152</v>
      </c>
      <c r="E32" s="15" t="s">
        <v>160</v>
      </c>
      <c r="F32" s="15" t="s">
        <v>154</v>
      </c>
      <c r="G32" s="15" t="s">
        <v>90</v>
      </c>
      <c r="H32" s="15" t="s">
        <v>161</v>
      </c>
      <c r="I32" s="15" t="s">
        <v>162</v>
      </c>
      <c r="J32" s="15" t="s">
        <v>54</v>
      </c>
      <c r="K32" s="15" t="s">
        <v>54</v>
      </c>
      <c r="L32" s="15" t="s">
        <v>54</v>
      </c>
      <c r="M32" s="15" t="s">
        <v>163</v>
      </c>
      <c r="N32" s="15">
        <f>COUNTIF(Tasks!$A:$A,A32)</f>
        <v>5</v>
      </c>
      <c r="O32" s="15">
        <f>COUNTIFS(Tasks!$A:$A,A32,Tasks!$F:$F,"✓")</f>
        <v>0</v>
      </c>
      <c r="P32" s="17">
        <f t="shared" si="0"/>
        <v>0</v>
      </c>
    </row>
    <row r="33" spans="1:16" x14ac:dyDescent="0.3">
      <c r="A33" s="15">
        <v>29</v>
      </c>
      <c r="B33" s="15" t="str">
        <f>"L"&amp;IF(A33-'Start here'!$C$7&lt;0,"−","+")&amp;ABS(A33-'Start here'!$C$7)</f>
        <v>L+2</v>
      </c>
      <c r="C33" s="16">
        <f>'Start here'!$C$6+7*(A33-1)</f>
        <v>46503</v>
      </c>
      <c r="D33" s="15" t="s">
        <v>152</v>
      </c>
      <c r="E33" s="15" t="s">
        <v>164</v>
      </c>
      <c r="F33" s="15" t="s">
        <v>154</v>
      </c>
      <c r="G33" s="15" t="s">
        <v>165</v>
      </c>
      <c r="H33" s="15" t="s">
        <v>166</v>
      </c>
      <c r="I33" s="15" t="s">
        <v>54</v>
      </c>
      <c r="J33" s="15" t="s">
        <v>54</v>
      </c>
      <c r="K33" s="15" t="s">
        <v>54</v>
      </c>
      <c r="L33" s="15" t="s">
        <v>54</v>
      </c>
      <c r="M33" s="15" t="s">
        <v>54</v>
      </c>
      <c r="N33" s="15">
        <f>COUNTIF(Tasks!$A:$A,A33)</f>
        <v>3</v>
      </c>
      <c r="O33" s="15">
        <f>COUNTIFS(Tasks!$A:$A,A33,Tasks!$F:$F,"✓")</f>
        <v>0</v>
      </c>
      <c r="P33" s="17">
        <f t="shared" si="0"/>
        <v>0</v>
      </c>
    </row>
    <row r="34" spans="1:16" ht="39.6" x14ac:dyDescent="0.3">
      <c r="A34" s="15">
        <v>30</v>
      </c>
      <c r="B34" s="15" t="str">
        <f>"L"&amp;IF(A34-'Start here'!$C$7&lt;0,"−","+")&amp;ABS(A34-'Start here'!$C$7)</f>
        <v>L+3</v>
      </c>
      <c r="C34" s="16">
        <f>'Start here'!$C$6+7*(A34-1)</f>
        <v>46510</v>
      </c>
      <c r="D34" s="15" t="s">
        <v>152</v>
      </c>
      <c r="E34" s="15" t="s">
        <v>167</v>
      </c>
      <c r="F34" s="15" t="s">
        <v>154</v>
      </c>
      <c r="G34" s="15" t="s">
        <v>54</v>
      </c>
      <c r="H34" s="15" t="s">
        <v>168</v>
      </c>
      <c r="I34" s="15" t="s">
        <v>54</v>
      </c>
      <c r="J34" s="15" t="s">
        <v>54</v>
      </c>
      <c r="K34" s="15" t="s">
        <v>54</v>
      </c>
      <c r="L34" s="15" t="s">
        <v>54</v>
      </c>
      <c r="M34" s="15" t="s">
        <v>169</v>
      </c>
      <c r="N34" s="15">
        <f>COUNTIF(Tasks!$A:$A,A34)</f>
        <v>3</v>
      </c>
      <c r="O34" s="15">
        <f>COUNTIFS(Tasks!$A:$A,A34,Tasks!$F:$F,"✓")</f>
        <v>0</v>
      </c>
      <c r="P34" s="17">
        <f t="shared" si="0"/>
        <v>0</v>
      </c>
    </row>
    <row r="35" spans="1:16" ht="26.4" x14ac:dyDescent="0.3">
      <c r="A35" s="18">
        <v>31</v>
      </c>
      <c r="B35" s="18" t="str">
        <f>"L"&amp;IF(A35-'Start here'!$C$7&lt;0,"−","+")&amp;ABS(A35-'Start here'!$C$7)</f>
        <v>L+4</v>
      </c>
      <c r="C35" s="19">
        <f>'Start here'!$C$6+7*(A35-1)</f>
        <v>46517</v>
      </c>
      <c r="D35" s="18" t="s">
        <v>170</v>
      </c>
      <c r="E35" s="18" t="s">
        <v>171</v>
      </c>
      <c r="F35" s="18" t="s">
        <v>172</v>
      </c>
      <c r="G35" s="15" t="s">
        <v>173</v>
      </c>
      <c r="H35" s="15" t="s">
        <v>174</v>
      </c>
      <c r="I35" s="15" t="s">
        <v>175</v>
      </c>
      <c r="J35" s="15" t="s">
        <v>176</v>
      </c>
      <c r="K35" s="15" t="s">
        <v>177</v>
      </c>
      <c r="L35" s="15" t="s">
        <v>54</v>
      </c>
      <c r="M35" s="15" t="s">
        <v>54</v>
      </c>
      <c r="N35" s="15">
        <f>COUNTIF(Tasks!$A:$A,A35)</f>
        <v>6</v>
      </c>
      <c r="O35" s="15">
        <f>COUNTIFS(Tasks!$A:$A,A35,Tasks!$F:$F,"✓")</f>
        <v>0</v>
      </c>
      <c r="P35" s="17">
        <f t="shared" si="0"/>
        <v>0</v>
      </c>
    </row>
    <row r="36" spans="1:16" ht="26.4" x14ac:dyDescent="0.3">
      <c r="A36" s="18">
        <v>32</v>
      </c>
      <c r="B36" s="18" t="str">
        <f>"L"&amp;IF(A36-'Start here'!$C$7&lt;0,"−","+")&amp;ABS(A36-'Start here'!$C$7)</f>
        <v>L+5</v>
      </c>
      <c r="C36" s="19">
        <f>'Start here'!$C$6+7*(A36-1)</f>
        <v>46524</v>
      </c>
      <c r="D36" s="18" t="s">
        <v>170</v>
      </c>
      <c r="E36" s="18" t="s">
        <v>178</v>
      </c>
      <c r="F36" s="18" t="s">
        <v>172</v>
      </c>
      <c r="G36" s="15" t="s">
        <v>173</v>
      </c>
      <c r="H36" s="15" t="s">
        <v>174</v>
      </c>
      <c r="I36" s="15" t="s">
        <v>54</v>
      </c>
      <c r="J36" s="15" t="s">
        <v>54</v>
      </c>
      <c r="K36" s="15" t="s">
        <v>54</v>
      </c>
      <c r="L36" s="15" t="s">
        <v>54</v>
      </c>
      <c r="M36" s="15" t="s">
        <v>179</v>
      </c>
      <c r="N36" s="15">
        <f>COUNTIF(Tasks!$A:$A,A36)</f>
        <v>4</v>
      </c>
      <c r="O36" s="15">
        <f>COUNTIFS(Tasks!$A:$A,A36,Tasks!$F:$F,"✓")</f>
        <v>0</v>
      </c>
      <c r="P36" s="17">
        <f t="shared" si="0"/>
        <v>0</v>
      </c>
    </row>
    <row r="37" spans="1:16" ht="26.4" x14ac:dyDescent="0.3">
      <c r="A37" s="18">
        <v>33</v>
      </c>
      <c r="B37" s="18" t="str">
        <f>"L"&amp;IF(A37-'Start here'!$C$7&lt;0,"−","+")&amp;ABS(A37-'Start here'!$C$7)</f>
        <v>L+6</v>
      </c>
      <c r="C37" s="19">
        <f>'Start here'!$C$6+7*(A37-1)</f>
        <v>46531</v>
      </c>
      <c r="D37" s="18" t="s">
        <v>170</v>
      </c>
      <c r="E37" s="18" t="s">
        <v>180</v>
      </c>
      <c r="F37" s="18" t="s">
        <v>172</v>
      </c>
      <c r="G37" s="15" t="s">
        <v>181</v>
      </c>
      <c r="H37" s="15" t="s">
        <v>182</v>
      </c>
      <c r="I37" s="15" t="s">
        <v>54</v>
      </c>
      <c r="J37" s="15" t="s">
        <v>54</v>
      </c>
      <c r="K37" s="15" t="s">
        <v>54</v>
      </c>
      <c r="L37" s="15" t="s">
        <v>54</v>
      </c>
      <c r="M37" s="15" t="s">
        <v>54</v>
      </c>
      <c r="N37" s="15">
        <f>COUNTIF(Tasks!$A:$A,A37)</f>
        <v>3</v>
      </c>
      <c r="O37" s="15">
        <f>COUNTIFS(Tasks!$A:$A,A37,Tasks!$F:$F,"✓")</f>
        <v>0</v>
      </c>
      <c r="P37" s="17">
        <f t="shared" ref="P37:P68" si="1">IF(N37=0,"",O37/N37)</f>
        <v>0</v>
      </c>
    </row>
    <row r="38" spans="1:16" ht="26.4" x14ac:dyDescent="0.3">
      <c r="A38" s="18">
        <v>34</v>
      </c>
      <c r="B38" s="18" t="str">
        <f>"L"&amp;IF(A38-'Start here'!$C$7&lt;0,"−","+")&amp;ABS(A38-'Start here'!$C$7)</f>
        <v>L+7</v>
      </c>
      <c r="C38" s="19">
        <f>'Start here'!$C$6+7*(A38-1)</f>
        <v>46538</v>
      </c>
      <c r="D38" s="18" t="s">
        <v>170</v>
      </c>
      <c r="E38" s="18" t="s">
        <v>183</v>
      </c>
      <c r="F38" s="18" t="s">
        <v>172</v>
      </c>
      <c r="G38" s="15" t="s">
        <v>173</v>
      </c>
      <c r="H38" s="15" t="s">
        <v>174</v>
      </c>
      <c r="I38" s="15" t="s">
        <v>54</v>
      </c>
      <c r="J38" s="15" t="s">
        <v>54</v>
      </c>
      <c r="K38" s="15" t="s">
        <v>54</v>
      </c>
      <c r="L38" s="15" t="s">
        <v>54</v>
      </c>
      <c r="M38" s="15" t="s">
        <v>184</v>
      </c>
      <c r="N38" s="15">
        <f>COUNTIF(Tasks!$A:$A,A38)</f>
        <v>4</v>
      </c>
      <c r="O38" s="15">
        <f>COUNTIFS(Tasks!$A:$A,A38,Tasks!$F:$F,"✓")</f>
        <v>0</v>
      </c>
      <c r="P38" s="17">
        <f t="shared" si="1"/>
        <v>0</v>
      </c>
    </row>
    <row r="39" spans="1:16" ht="26.4" x14ac:dyDescent="0.3">
      <c r="A39" s="18">
        <v>35</v>
      </c>
      <c r="B39" s="18" t="str">
        <f>"L"&amp;IF(A39-'Start here'!$C$7&lt;0,"−","+")&amp;ABS(A39-'Start here'!$C$7)</f>
        <v>L+8</v>
      </c>
      <c r="C39" s="19">
        <f>'Start here'!$C$6+7*(A39-1)</f>
        <v>46545</v>
      </c>
      <c r="D39" s="18" t="s">
        <v>170</v>
      </c>
      <c r="E39" s="18" t="s">
        <v>185</v>
      </c>
      <c r="F39" s="18" t="s">
        <v>172</v>
      </c>
      <c r="G39" s="15" t="s">
        <v>173</v>
      </c>
      <c r="H39" s="15" t="s">
        <v>174</v>
      </c>
      <c r="I39" s="15" t="s">
        <v>186</v>
      </c>
      <c r="J39" s="15" t="s">
        <v>54</v>
      </c>
      <c r="K39" s="15" t="s">
        <v>187</v>
      </c>
      <c r="L39" s="15" t="s">
        <v>54</v>
      </c>
      <c r="M39" s="15" t="s">
        <v>54</v>
      </c>
      <c r="N39" s="15">
        <f>COUNTIF(Tasks!$A:$A,A39)</f>
        <v>5</v>
      </c>
      <c r="O39" s="15">
        <f>COUNTIFS(Tasks!$A:$A,A39,Tasks!$F:$F,"✓")</f>
        <v>0</v>
      </c>
      <c r="P39" s="17">
        <f t="shared" si="1"/>
        <v>0</v>
      </c>
    </row>
    <row r="40" spans="1:16" ht="26.4" x14ac:dyDescent="0.3">
      <c r="A40" s="18">
        <v>36</v>
      </c>
      <c r="B40" s="18" t="str">
        <f>"L"&amp;IF(A40-'Start here'!$C$7&lt;0,"−","+")&amp;ABS(A40-'Start here'!$C$7)</f>
        <v>L+9</v>
      </c>
      <c r="C40" s="19">
        <f>'Start here'!$C$6+7*(A40-1)</f>
        <v>46552</v>
      </c>
      <c r="D40" s="18" t="s">
        <v>170</v>
      </c>
      <c r="E40" s="18" t="s">
        <v>188</v>
      </c>
      <c r="F40" s="18" t="s">
        <v>172</v>
      </c>
      <c r="G40" s="15" t="s">
        <v>173</v>
      </c>
      <c r="H40" s="15" t="s">
        <v>174</v>
      </c>
      <c r="I40" s="15" t="s">
        <v>54</v>
      </c>
      <c r="J40" s="15" t="s">
        <v>54</v>
      </c>
      <c r="K40" s="15" t="s">
        <v>54</v>
      </c>
      <c r="L40" s="15" t="s">
        <v>54</v>
      </c>
      <c r="M40" s="15" t="s">
        <v>189</v>
      </c>
      <c r="N40" s="15">
        <f>COUNTIF(Tasks!$A:$A,A40)</f>
        <v>4</v>
      </c>
      <c r="O40" s="15">
        <f>COUNTIFS(Tasks!$A:$A,A40,Tasks!$F:$F,"✓")</f>
        <v>0</v>
      </c>
      <c r="P40" s="17">
        <f t="shared" si="1"/>
        <v>0</v>
      </c>
    </row>
    <row r="41" spans="1:16" ht="26.4" x14ac:dyDescent="0.3">
      <c r="A41" s="18">
        <v>37</v>
      </c>
      <c r="B41" s="18" t="str">
        <f>"L"&amp;IF(A41-'Start here'!$C$7&lt;0,"−","+")&amp;ABS(A41-'Start here'!$C$7)</f>
        <v>L+10</v>
      </c>
      <c r="C41" s="19">
        <f>'Start here'!$C$6+7*(A41-1)</f>
        <v>46559</v>
      </c>
      <c r="D41" s="18" t="s">
        <v>170</v>
      </c>
      <c r="E41" s="18" t="s">
        <v>190</v>
      </c>
      <c r="F41" s="18" t="s">
        <v>172</v>
      </c>
      <c r="G41" s="15" t="s">
        <v>173</v>
      </c>
      <c r="H41" s="15" t="s">
        <v>191</v>
      </c>
      <c r="I41" s="15" t="s">
        <v>54</v>
      </c>
      <c r="J41" s="15" t="s">
        <v>192</v>
      </c>
      <c r="K41" s="15" t="s">
        <v>54</v>
      </c>
      <c r="L41" s="15" t="s">
        <v>54</v>
      </c>
      <c r="M41" s="15" t="s">
        <v>54</v>
      </c>
      <c r="N41" s="15">
        <f>COUNTIF(Tasks!$A:$A,A41)</f>
        <v>4</v>
      </c>
      <c r="O41" s="15">
        <f>COUNTIFS(Tasks!$A:$A,A41,Tasks!$F:$F,"✓")</f>
        <v>0</v>
      </c>
      <c r="P41" s="17">
        <f t="shared" si="1"/>
        <v>0</v>
      </c>
    </row>
    <row r="42" spans="1:16" ht="26.4" x14ac:dyDescent="0.3">
      <c r="A42" s="18">
        <v>38</v>
      </c>
      <c r="B42" s="18" t="str">
        <f>"L"&amp;IF(A42-'Start here'!$C$7&lt;0,"−","+")&amp;ABS(A42-'Start here'!$C$7)</f>
        <v>L+11</v>
      </c>
      <c r="C42" s="19">
        <f>'Start here'!$C$6+7*(A42-1)</f>
        <v>46566</v>
      </c>
      <c r="D42" s="18" t="s">
        <v>170</v>
      </c>
      <c r="E42" s="18" t="s">
        <v>193</v>
      </c>
      <c r="F42" s="18" t="s">
        <v>172</v>
      </c>
      <c r="G42" s="15" t="s">
        <v>173</v>
      </c>
      <c r="H42" s="15" t="s">
        <v>174</v>
      </c>
      <c r="I42" s="15" t="s">
        <v>54</v>
      </c>
      <c r="J42" s="15" t="s">
        <v>54</v>
      </c>
      <c r="K42" s="15" t="s">
        <v>54</v>
      </c>
      <c r="L42" s="15" t="s">
        <v>54</v>
      </c>
      <c r="M42" s="15" t="s">
        <v>194</v>
      </c>
      <c r="N42" s="15">
        <f>COUNTIF(Tasks!$A:$A,A42)</f>
        <v>4</v>
      </c>
      <c r="O42" s="15">
        <f>COUNTIFS(Tasks!$A:$A,A42,Tasks!$F:$F,"✓")</f>
        <v>0</v>
      </c>
      <c r="P42" s="17">
        <f t="shared" si="1"/>
        <v>0</v>
      </c>
    </row>
    <row r="43" spans="1:16" ht="26.4" x14ac:dyDescent="0.3">
      <c r="A43" s="18">
        <v>39</v>
      </c>
      <c r="B43" s="18" t="str">
        <f>"L"&amp;IF(A43-'Start here'!$C$7&lt;0,"−","+")&amp;ABS(A43-'Start here'!$C$7)</f>
        <v>L+12</v>
      </c>
      <c r="C43" s="19">
        <f>'Start here'!$C$6+7*(A43-1)</f>
        <v>46573</v>
      </c>
      <c r="D43" s="18" t="s">
        <v>170</v>
      </c>
      <c r="E43" s="18" t="s">
        <v>195</v>
      </c>
      <c r="F43" s="18" t="s">
        <v>172</v>
      </c>
      <c r="G43" s="15" t="s">
        <v>173</v>
      </c>
      <c r="H43" s="15" t="s">
        <v>174</v>
      </c>
      <c r="I43" s="15" t="s">
        <v>54</v>
      </c>
      <c r="J43" s="15" t="s">
        <v>54</v>
      </c>
      <c r="K43" s="15" t="s">
        <v>54</v>
      </c>
      <c r="L43" s="15" t="s">
        <v>54</v>
      </c>
      <c r="M43" s="15" t="s">
        <v>196</v>
      </c>
      <c r="N43" s="15">
        <f>COUNTIF(Tasks!$A:$A,A43)</f>
        <v>4</v>
      </c>
      <c r="O43" s="15">
        <f>COUNTIFS(Tasks!$A:$A,A43,Tasks!$F:$F,"✓")</f>
        <v>0</v>
      </c>
      <c r="P43" s="17">
        <f t="shared" si="1"/>
        <v>0</v>
      </c>
    </row>
    <row r="44" spans="1:16" ht="52.8" x14ac:dyDescent="0.3">
      <c r="A44" s="15">
        <v>40</v>
      </c>
      <c r="B44" s="15" t="str">
        <f>"L"&amp;IF(A44-'Start here'!$C$7&lt;0,"−","+")&amp;ABS(A44-'Start here'!$C$7)</f>
        <v>L+13</v>
      </c>
      <c r="C44" s="16">
        <f>'Start here'!$C$6+7*(A44-1)</f>
        <v>46580</v>
      </c>
      <c r="D44" s="15" t="s">
        <v>197</v>
      </c>
      <c r="E44" s="15" t="s">
        <v>198</v>
      </c>
      <c r="F44" s="15" t="s">
        <v>172</v>
      </c>
      <c r="G44" s="15" t="s">
        <v>173</v>
      </c>
      <c r="H44" s="15" t="s">
        <v>174</v>
      </c>
      <c r="I44" s="15" t="s">
        <v>54</v>
      </c>
      <c r="J44" s="15" t="s">
        <v>54</v>
      </c>
      <c r="K44" s="15" t="s">
        <v>54</v>
      </c>
      <c r="L44" s="15" t="s">
        <v>54</v>
      </c>
      <c r="M44" s="15" t="s">
        <v>199</v>
      </c>
      <c r="N44" s="15">
        <f>COUNTIF(Tasks!$A:$A,A44)</f>
        <v>5</v>
      </c>
      <c r="O44" s="15">
        <f>COUNTIFS(Tasks!$A:$A,A44,Tasks!$F:$F,"✓")</f>
        <v>0</v>
      </c>
      <c r="P44" s="17">
        <f t="shared" si="1"/>
        <v>0</v>
      </c>
    </row>
    <row r="45" spans="1:16" ht="39.6" x14ac:dyDescent="0.3">
      <c r="A45" s="15">
        <v>41</v>
      </c>
      <c r="B45" s="15" t="str">
        <f>"L"&amp;IF(A45-'Start here'!$C$7&lt;0,"−","+")&amp;ABS(A45-'Start here'!$C$7)</f>
        <v>L+14</v>
      </c>
      <c r="C45" s="16">
        <f>'Start here'!$C$6+7*(A45-1)</f>
        <v>46587</v>
      </c>
      <c r="D45" s="15" t="s">
        <v>197</v>
      </c>
      <c r="E45" s="15" t="s">
        <v>200</v>
      </c>
      <c r="F45" s="15" t="s">
        <v>172</v>
      </c>
      <c r="G45" s="15" t="s">
        <v>173</v>
      </c>
      <c r="H45" s="15" t="s">
        <v>174</v>
      </c>
      <c r="I45" s="15" t="s">
        <v>54</v>
      </c>
      <c r="J45" s="15" t="s">
        <v>54</v>
      </c>
      <c r="K45" s="15" t="s">
        <v>54</v>
      </c>
      <c r="L45" s="15" t="s">
        <v>54</v>
      </c>
      <c r="M45" s="15" t="s">
        <v>201</v>
      </c>
      <c r="N45" s="15">
        <f>COUNTIF(Tasks!$A:$A,A45)</f>
        <v>5</v>
      </c>
      <c r="O45" s="15">
        <f>COUNTIFS(Tasks!$A:$A,A45,Tasks!$F:$F,"✓")</f>
        <v>0</v>
      </c>
      <c r="P45" s="17">
        <f t="shared" si="1"/>
        <v>0</v>
      </c>
    </row>
    <row r="46" spans="1:16" ht="26.4" x14ac:dyDescent="0.3">
      <c r="A46" s="15">
        <v>42</v>
      </c>
      <c r="B46" s="15" t="str">
        <f>"L"&amp;IF(A46-'Start here'!$C$7&lt;0,"−","+")&amp;ABS(A46-'Start here'!$C$7)</f>
        <v>L+15</v>
      </c>
      <c r="C46" s="16">
        <f>'Start here'!$C$6+7*(A46-1)</f>
        <v>46594</v>
      </c>
      <c r="D46" s="15" t="s">
        <v>197</v>
      </c>
      <c r="E46" s="15" t="s">
        <v>202</v>
      </c>
      <c r="F46" s="15" t="s">
        <v>172</v>
      </c>
      <c r="G46" s="15" t="s">
        <v>173</v>
      </c>
      <c r="H46" s="15" t="s">
        <v>174</v>
      </c>
      <c r="I46" s="15" t="s">
        <v>54</v>
      </c>
      <c r="J46" s="15" t="s">
        <v>54</v>
      </c>
      <c r="K46" s="15" t="s">
        <v>54</v>
      </c>
      <c r="L46" s="15" t="s">
        <v>54</v>
      </c>
      <c r="M46" s="15" t="s">
        <v>203</v>
      </c>
      <c r="N46" s="15">
        <f>COUNTIF(Tasks!$A:$A,A46)</f>
        <v>4</v>
      </c>
      <c r="O46" s="15">
        <f>COUNTIFS(Tasks!$A:$A,A46,Tasks!$F:$F,"✓")</f>
        <v>0</v>
      </c>
      <c r="P46" s="17">
        <f t="shared" si="1"/>
        <v>0</v>
      </c>
    </row>
    <row r="47" spans="1:16" ht="26.4" x14ac:dyDescent="0.3">
      <c r="A47" s="15">
        <v>43</v>
      </c>
      <c r="B47" s="15" t="str">
        <f>"L"&amp;IF(A47-'Start here'!$C$7&lt;0,"−","+")&amp;ABS(A47-'Start here'!$C$7)</f>
        <v>L+16</v>
      </c>
      <c r="C47" s="16">
        <f>'Start here'!$C$6+7*(A47-1)</f>
        <v>46601</v>
      </c>
      <c r="D47" s="15" t="s">
        <v>197</v>
      </c>
      <c r="E47" s="15" t="s">
        <v>204</v>
      </c>
      <c r="F47" s="15" t="s">
        <v>172</v>
      </c>
      <c r="G47" s="15" t="s">
        <v>173</v>
      </c>
      <c r="H47" s="15" t="s">
        <v>205</v>
      </c>
      <c r="I47" s="15" t="s">
        <v>206</v>
      </c>
      <c r="J47" s="15" t="s">
        <v>54</v>
      </c>
      <c r="K47" s="15" t="s">
        <v>54</v>
      </c>
      <c r="L47" s="15" t="s">
        <v>54</v>
      </c>
      <c r="M47" s="15" t="s">
        <v>207</v>
      </c>
      <c r="N47" s="15">
        <f>COUNTIF(Tasks!$A:$A,A47)</f>
        <v>5</v>
      </c>
      <c r="O47" s="15">
        <f>COUNTIFS(Tasks!$A:$A,A47,Tasks!$F:$F,"✓")</f>
        <v>0</v>
      </c>
      <c r="P47" s="17">
        <f t="shared" si="1"/>
        <v>0</v>
      </c>
    </row>
    <row r="48" spans="1:16" ht="26.4" x14ac:dyDescent="0.3">
      <c r="A48" s="15">
        <v>44</v>
      </c>
      <c r="B48" s="15" t="str">
        <f>"L"&amp;IF(A48-'Start here'!$C$7&lt;0,"−","+")&amp;ABS(A48-'Start here'!$C$7)</f>
        <v>L+17</v>
      </c>
      <c r="C48" s="16">
        <f>'Start here'!$C$6+7*(A48-1)</f>
        <v>46608</v>
      </c>
      <c r="D48" s="15" t="s">
        <v>197</v>
      </c>
      <c r="E48" s="15" t="s">
        <v>208</v>
      </c>
      <c r="F48" s="15" t="s">
        <v>172</v>
      </c>
      <c r="G48" s="15" t="s">
        <v>173</v>
      </c>
      <c r="H48" s="15" t="s">
        <v>205</v>
      </c>
      <c r="I48" s="15" t="s">
        <v>206</v>
      </c>
      <c r="J48" s="15" t="s">
        <v>54</v>
      </c>
      <c r="K48" s="15" t="s">
        <v>54</v>
      </c>
      <c r="L48" s="15" t="s">
        <v>54</v>
      </c>
      <c r="M48" s="15" t="s">
        <v>209</v>
      </c>
      <c r="N48" s="15">
        <f>COUNTIF(Tasks!$A:$A,A48)</f>
        <v>5</v>
      </c>
      <c r="O48" s="15">
        <f>COUNTIFS(Tasks!$A:$A,A48,Tasks!$F:$F,"✓")</f>
        <v>0</v>
      </c>
      <c r="P48" s="17">
        <f t="shared" si="1"/>
        <v>0</v>
      </c>
    </row>
    <row r="49" spans="1:16" x14ac:dyDescent="0.3">
      <c r="A49" s="15">
        <v>45</v>
      </c>
      <c r="B49" s="15" t="str">
        <f>"L"&amp;IF(A49-'Start here'!$C$7&lt;0,"−","+")&amp;ABS(A49-'Start here'!$C$7)</f>
        <v>L+18</v>
      </c>
      <c r="C49" s="16">
        <f>'Start here'!$C$6+7*(A49-1)</f>
        <v>46615</v>
      </c>
      <c r="D49" s="15" t="s">
        <v>197</v>
      </c>
      <c r="E49" s="15" t="s">
        <v>204</v>
      </c>
      <c r="F49" s="15" t="s">
        <v>172</v>
      </c>
      <c r="G49" s="15" t="s">
        <v>173</v>
      </c>
      <c r="H49" s="15" t="s">
        <v>205</v>
      </c>
      <c r="I49" s="15" t="s">
        <v>206</v>
      </c>
      <c r="J49" s="15" t="s">
        <v>54</v>
      </c>
      <c r="K49" s="15" t="s">
        <v>54</v>
      </c>
      <c r="L49" s="15" t="s">
        <v>54</v>
      </c>
      <c r="M49" s="15" t="s">
        <v>210</v>
      </c>
      <c r="N49" s="15">
        <f>COUNTIF(Tasks!$A:$A,A49)</f>
        <v>5</v>
      </c>
      <c r="O49" s="15">
        <f>COUNTIFS(Tasks!$A:$A,A49,Tasks!$F:$F,"✓")</f>
        <v>0</v>
      </c>
      <c r="P49" s="17">
        <f t="shared" si="1"/>
        <v>0</v>
      </c>
    </row>
    <row r="50" spans="1:16" ht="26.4" x14ac:dyDescent="0.3">
      <c r="A50" s="15">
        <v>46</v>
      </c>
      <c r="B50" s="15" t="str">
        <f>"L"&amp;IF(A50-'Start here'!$C$7&lt;0,"−","+")&amp;ABS(A50-'Start here'!$C$7)</f>
        <v>L+19</v>
      </c>
      <c r="C50" s="16">
        <f>'Start here'!$C$6+7*(A50-1)</f>
        <v>46622</v>
      </c>
      <c r="D50" s="15" t="s">
        <v>197</v>
      </c>
      <c r="E50" s="15" t="s">
        <v>211</v>
      </c>
      <c r="F50" s="15" t="s">
        <v>172</v>
      </c>
      <c r="G50" s="15" t="s">
        <v>173</v>
      </c>
      <c r="H50" s="15" t="s">
        <v>205</v>
      </c>
      <c r="I50" s="15" t="s">
        <v>206</v>
      </c>
      <c r="J50" s="15" t="s">
        <v>54</v>
      </c>
      <c r="K50" s="15" t="s">
        <v>54</v>
      </c>
      <c r="L50" s="15" t="s">
        <v>54</v>
      </c>
      <c r="M50" s="15" t="s">
        <v>54</v>
      </c>
      <c r="N50" s="15">
        <f>COUNTIF(Tasks!$A:$A,A50)</f>
        <v>4</v>
      </c>
      <c r="O50" s="15">
        <f>COUNTIFS(Tasks!$A:$A,A50,Tasks!$F:$F,"✓")</f>
        <v>0</v>
      </c>
      <c r="P50" s="17">
        <f t="shared" si="1"/>
        <v>0</v>
      </c>
    </row>
    <row r="51" spans="1:16" ht="26.4" x14ac:dyDescent="0.3">
      <c r="A51" s="15">
        <v>47</v>
      </c>
      <c r="B51" s="15" t="str">
        <f>"L"&amp;IF(A51-'Start here'!$C$7&lt;0,"−","+")&amp;ABS(A51-'Start here'!$C$7)</f>
        <v>L+20</v>
      </c>
      <c r="C51" s="16">
        <f>'Start here'!$C$6+7*(A51-1)</f>
        <v>46629</v>
      </c>
      <c r="D51" s="15" t="s">
        <v>197</v>
      </c>
      <c r="E51" s="15" t="s">
        <v>212</v>
      </c>
      <c r="F51" s="15" t="s">
        <v>172</v>
      </c>
      <c r="G51" s="15" t="s">
        <v>173</v>
      </c>
      <c r="H51" s="15" t="s">
        <v>174</v>
      </c>
      <c r="I51" s="15" t="s">
        <v>54</v>
      </c>
      <c r="J51" s="15" t="s">
        <v>54</v>
      </c>
      <c r="K51" s="15" t="s">
        <v>54</v>
      </c>
      <c r="L51" s="15" t="s">
        <v>54</v>
      </c>
      <c r="M51" s="15" t="s">
        <v>213</v>
      </c>
      <c r="N51" s="15">
        <f>COUNTIF(Tasks!$A:$A,A51)</f>
        <v>4</v>
      </c>
      <c r="O51" s="15">
        <f>COUNTIFS(Tasks!$A:$A,A51,Tasks!$F:$F,"✓")</f>
        <v>0</v>
      </c>
      <c r="P51" s="17">
        <f t="shared" si="1"/>
        <v>0</v>
      </c>
    </row>
    <row r="52" spans="1:16" ht="26.4" x14ac:dyDescent="0.3">
      <c r="A52" s="15">
        <v>48</v>
      </c>
      <c r="B52" s="15" t="str">
        <f>"L"&amp;IF(A52-'Start here'!$C$7&lt;0,"−","+")&amp;ABS(A52-'Start here'!$C$7)</f>
        <v>L+21</v>
      </c>
      <c r="C52" s="16">
        <f>'Start here'!$C$6+7*(A52-1)</f>
        <v>46636</v>
      </c>
      <c r="D52" s="15" t="s">
        <v>197</v>
      </c>
      <c r="E52" s="15" t="s">
        <v>214</v>
      </c>
      <c r="F52" s="15" t="s">
        <v>172</v>
      </c>
      <c r="G52" s="15" t="s">
        <v>173</v>
      </c>
      <c r="H52" s="15" t="s">
        <v>174</v>
      </c>
      <c r="I52" s="15" t="s">
        <v>54</v>
      </c>
      <c r="J52" s="15" t="s">
        <v>54</v>
      </c>
      <c r="K52" s="15" t="s">
        <v>54</v>
      </c>
      <c r="L52" s="15" t="s">
        <v>54</v>
      </c>
      <c r="M52" s="15" t="s">
        <v>215</v>
      </c>
      <c r="N52" s="15">
        <f>COUNTIF(Tasks!$A:$A,A52)</f>
        <v>4</v>
      </c>
      <c r="O52" s="15">
        <f>COUNTIFS(Tasks!$A:$A,A52,Tasks!$F:$F,"✓")</f>
        <v>0</v>
      </c>
      <c r="P52" s="17">
        <f t="shared" si="1"/>
        <v>0</v>
      </c>
    </row>
    <row r="53" spans="1:16" x14ac:dyDescent="0.3">
      <c r="A53" s="15">
        <v>49</v>
      </c>
      <c r="B53" s="15" t="str">
        <f>"L"&amp;IF(A53-'Start here'!$C$7&lt;0,"−","+")&amp;ABS(A53-'Start here'!$C$7)</f>
        <v>L+22</v>
      </c>
      <c r="C53" s="16">
        <f>'Start here'!$C$6+7*(A53-1)</f>
        <v>46643</v>
      </c>
      <c r="D53" s="15" t="s">
        <v>197</v>
      </c>
      <c r="E53" s="15" t="s">
        <v>216</v>
      </c>
      <c r="F53" s="15" t="s">
        <v>172</v>
      </c>
      <c r="G53" s="15" t="s">
        <v>173</v>
      </c>
      <c r="H53" s="15" t="s">
        <v>174</v>
      </c>
      <c r="I53" s="15" t="s">
        <v>217</v>
      </c>
      <c r="J53" s="15" t="s">
        <v>218</v>
      </c>
      <c r="K53" s="15" t="s">
        <v>54</v>
      </c>
      <c r="L53" s="15" t="s">
        <v>54</v>
      </c>
      <c r="M53" s="15" t="s">
        <v>54</v>
      </c>
      <c r="N53" s="15">
        <f>COUNTIF(Tasks!$A:$A,A53)</f>
        <v>5</v>
      </c>
      <c r="O53" s="15">
        <f>COUNTIFS(Tasks!$A:$A,A53,Tasks!$F:$F,"✓")</f>
        <v>0</v>
      </c>
      <c r="P53" s="17">
        <f t="shared" si="1"/>
        <v>0</v>
      </c>
    </row>
    <row r="54" spans="1:16" ht="26.4" x14ac:dyDescent="0.3">
      <c r="A54" s="15">
        <v>50</v>
      </c>
      <c r="B54" s="15" t="str">
        <f>"L"&amp;IF(A54-'Start here'!$C$7&lt;0,"−","+")&amp;ABS(A54-'Start here'!$C$7)</f>
        <v>L+23</v>
      </c>
      <c r="C54" s="16">
        <f>'Start here'!$C$6+7*(A54-1)</f>
        <v>46650</v>
      </c>
      <c r="D54" s="15" t="s">
        <v>197</v>
      </c>
      <c r="E54" s="15" t="s">
        <v>219</v>
      </c>
      <c r="F54" s="15" t="s">
        <v>172</v>
      </c>
      <c r="G54" s="15" t="s">
        <v>173</v>
      </c>
      <c r="H54" s="15" t="s">
        <v>174</v>
      </c>
      <c r="I54" s="15" t="s">
        <v>54</v>
      </c>
      <c r="J54" s="15" t="s">
        <v>54</v>
      </c>
      <c r="K54" s="15" t="s">
        <v>54</v>
      </c>
      <c r="L54" s="15" t="s">
        <v>54</v>
      </c>
      <c r="M54" s="15" t="s">
        <v>220</v>
      </c>
      <c r="N54" s="15">
        <f>COUNTIF(Tasks!$A:$A,A54)</f>
        <v>4</v>
      </c>
      <c r="O54" s="15">
        <f>COUNTIFS(Tasks!$A:$A,A54,Tasks!$F:$F,"✓")</f>
        <v>0</v>
      </c>
      <c r="P54" s="17">
        <f t="shared" si="1"/>
        <v>0</v>
      </c>
    </row>
    <row r="55" spans="1:16" ht="39.6" x14ac:dyDescent="0.3">
      <c r="A55" s="15">
        <v>51</v>
      </c>
      <c r="B55" s="15" t="str">
        <f>"L"&amp;IF(A55-'Start here'!$C$7&lt;0,"−","+")&amp;ABS(A55-'Start here'!$C$7)</f>
        <v>L+24</v>
      </c>
      <c r="C55" s="16">
        <f>'Start here'!$C$6+7*(A55-1)</f>
        <v>46657</v>
      </c>
      <c r="D55" s="15" t="s">
        <v>197</v>
      </c>
      <c r="E55" s="15" t="s">
        <v>221</v>
      </c>
      <c r="F55" s="15" t="s">
        <v>172</v>
      </c>
      <c r="G55" s="15" t="s">
        <v>173</v>
      </c>
      <c r="H55" s="15" t="s">
        <v>174</v>
      </c>
      <c r="I55" s="15" t="s">
        <v>54</v>
      </c>
      <c r="J55" s="15" t="s">
        <v>54</v>
      </c>
      <c r="K55" s="15" t="s">
        <v>54</v>
      </c>
      <c r="L55" s="15" t="s">
        <v>54</v>
      </c>
      <c r="M55" s="15" t="s">
        <v>222</v>
      </c>
      <c r="N55" s="15">
        <f>COUNTIF(Tasks!$A:$A,A55)</f>
        <v>4</v>
      </c>
      <c r="O55" s="15">
        <f>COUNTIFS(Tasks!$A:$A,A55,Tasks!$F:$F,"✓")</f>
        <v>0</v>
      </c>
      <c r="P55" s="17">
        <f t="shared" si="1"/>
        <v>0</v>
      </c>
    </row>
    <row r="56" spans="1:16" ht="26.4" x14ac:dyDescent="0.3">
      <c r="A56" s="15">
        <v>52</v>
      </c>
      <c r="B56" s="15" t="str">
        <f>"L"&amp;IF(A56-'Start here'!$C$7&lt;0,"−","+")&amp;ABS(A56-'Start here'!$C$7)</f>
        <v>L+25</v>
      </c>
      <c r="C56" s="16">
        <f>'Start here'!$C$6+7*(A56-1)</f>
        <v>46664</v>
      </c>
      <c r="D56" s="15" t="s">
        <v>197</v>
      </c>
      <c r="E56" s="15" t="s">
        <v>223</v>
      </c>
      <c r="F56" s="15" t="s">
        <v>172</v>
      </c>
      <c r="G56" s="15" t="s">
        <v>173</v>
      </c>
      <c r="H56" s="15" t="s">
        <v>174</v>
      </c>
      <c r="I56" s="15" t="s">
        <v>54</v>
      </c>
      <c r="J56" s="15" t="s">
        <v>54</v>
      </c>
      <c r="K56" s="15" t="s">
        <v>54</v>
      </c>
      <c r="L56" s="15" t="s">
        <v>54</v>
      </c>
      <c r="M56" s="15" t="s">
        <v>224</v>
      </c>
      <c r="N56" s="15">
        <f>COUNTIF(Tasks!$A:$A,A56)</f>
        <v>4</v>
      </c>
      <c r="O56" s="15">
        <f>COUNTIFS(Tasks!$A:$A,A56,Tasks!$F:$F,"✓")</f>
        <v>0</v>
      </c>
      <c r="P56" s="17">
        <f t="shared" si="1"/>
        <v>0</v>
      </c>
    </row>
  </sheetData>
  <autoFilter ref="A4:P56" xr:uid="{00000000-0009-0000-0000-000001000000}"/>
  <conditionalFormatting sqref="P5:P56">
    <cfRule type="dataBar" priority="1">
      <dataBar>
        <cfvo type="num" val="0"/>
        <cfvo type="num" val="1"/>
        <color rgb="FFC9A27A"/>
      </dataBar>
      <extLst>
        <ext xmlns:x14="http://schemas.microsoft.com/office/spreadsheetml/2009/9/main" uri="{B025F937-C7B1-47D3-B67F-A62EFF666E3E}">
          <x14:id>{85C09110-2379-4967-8497-C565D8FD385E}</x14:id>
        </ext>
      </extLst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C09110-2379-4967-8497-C565D8FD38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P5:P56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26" customWidth="1"/>
    <col min="4" max="4" width="18" customWidth="1"/>
    <col min="5" max="5" width="80" customWidth="1"/>
    <col min="6" max="6" width="8" customWidth="1"/>
    <col min="7" max="7" width="40" customWidth="1"/>
  </cols>
  <sheetData>
    <row r="1" spans="1:7" ht="21" x14ac:dyDescent="0.4">
      <c r="A1" s="1" t="s">
        <v>12</v>
      </c>
    </row>
    <row r="2" spans="1:7" x14ac:dyDescent="0.3">
      <c r="A2" s="2" t="s">
        <v>225</v>
      </c>
    </row>
    <row r="4" spans="1:7" ht="30" customHeight="1" x14ac:dyDescent="0.3">
      <c r="A4" s="14" t="s">
        <v>36</v>
      </c>
      <c r="B4" s="14" t="s">
        <v>38</v>
      </c>
      <c r="C4" s="14" t="s">
        <v>39</v>
      </c>
      <c r="D4" s="14" t="s">
        <v>226</v>
      </c>
      <c r="E4" s="14" t="s">
        <v>227</v>
      </c>
      <c r="F4" s="14" t="s">
        <v>49</v>
      </c>
      <c r="G4" s="14" t="s">
        <v>228</v>
      </c>
    </row>
    <row r="5" spans="1:7" x14ac:dyDescent="0.3">
      <c r="A5" s="15">
        <v>1</v>
      </c>
      <c r="B5" s="16">
        <f>INDEX('Weekly plan'!$C:$C,MATCH(A5,'Weekly plan'!$A:$A,0))</f>
        <v>46307</v>
      </c>
      <c r="C5" s="15" t="str">
        <f>INDEX('Weekly plan'!$D:$D,MATCH(A5,'Weekly plan'!$A:$A,0))</f>
        <v>Month -6 · Quiet foundation</v>
      </c>
      <c r="D5" s="15" t="s">
        <v>43</v>
      </c>
      <c r="E5" s="15" t="s">
        <v>229</v>
      </c>
      <c r="F5" s="22"/>
      <c r="G5" s="23"/>
    </row>
    <row r="6" spans="1:7" x14ac:dyDescent="0.3">
      <c r="A6" s="15">
        <v>1</v>
      </c>
      <c r="B6" s="16">
        <f>INDEX('Weekly plan'!$C:$C,MATCH(A6,'Weekly plan'!$A:$A,0))</f>
        <v>46307</v>
      </c>
      <c r="C6" s="15" t="str">
        <f>INDEX('Weekly plan'!$D:$D,MATCH(A6,'Weekly plan'!$A:$A,0))</f>
        <v>Month -6 · Quiet foundation</v>
      </c>
      <c r="D6" s="15" t="s">
        <v>44</v>
      </c>
      <c r="E6" s="15" t="s">
        <v>230</v>
      </c>
      <c r="F6" s="22"/>
      <c r="G6" s="23"/>
    </row>
    <row r="7" spans="1:7" x14ac:dyDescent="0.3">
      <c r="A7" s="15">
        <v>1</v>
      </c>
      <c r="B7" s="16">
        <f>INDEX('Weekly plan'!$C:$C,MATCH(A7,'Weekly plan'!$A:$A,0))</f>
        <v>46307</v>
      </c>
      <c r="C7" s="15" t="str">
        <f>INDEX('Weekly plan'!$D:$D,MATCH(A7,'Weekly plan'!$A:$A,0))</f>
        <v>Month -6 · Quiet foundation</v>
      </c>
      <c r="D7" s="15" t="s">
        <v>47</v>
      </c>
      <c r="E7" s="15" t="s">
        <v>231</v>
      </c>
      <c r="F7" s="22"/>
      <c r="G7" s="23"/>
    </row>
    <row r="8" spans="1:7" x14ac:dyDescent="0.3">
      <c r="A8" s="15">
        <v>1</v>
      </c>
      <c r="B8" s="16">
        <f>INDEX('Weekly plan'!$C:$C,MATCH(A8,'Weekly plan'!$A:$A,0))</f>
        <v>46307</v>
      </c>
      <c r="C8" s="15" t="str">
        <f>INDEX('Weekly plan'!$D:$D,MATCH(A8,'Weekly plan'!$A:$A,0))</f>
        <v>Month -6 · Quiet foundation</v>
      </c>
      <c r="D8" s="15" t="s">
        <v>232</v>
      </c>
      <c r="E8" s="15" t="s">
        <v>233</v>
      </c>
      <c r="F8" s="22"/>
      <c r="G8" s="23"/>
    </row>
    <row r="9" spans="1:7" x14ac:dyDescent="0.3">
      <c r="A9" s="15">
        <v>1</v>
      </c>
      <c r="B9" s="16">
        <f>INDEX('Weekly plan'!$C:$C,MATCH(A9,'Weekly plan'!$A:$A,0))</f>
        <v>46307</v>
      </c>
      <c r="C9" s="15" t="str">
        <f>INDEX('Weekly plan'!$D:$D,MATCH(A9,'Weekly plan'!$A:$A,0))</f>
        <v>Month -6 · Quiet foundation</v>
      </c>
      <c r="D9" s="15" t="s">
        <v>234</v>
      </c>
      <c r="E9" s="15" t="s">
        <v>235</v>
      </c>
      <c r="F9" s="22"/>
      <c r="G9" s="23"/>
    </row>
    <row r="10" spans="1:7" x14ac:dyDescent="0.3">
      <c r="A10" s="15">
        <v>1</v>
      </c>
      <c r="B10" s="16">
        <f>INDEX('Weekly plan'!$C:$C,MATCH(A10,'Weekly plan'!$A:$A,0))</f>
        <v>46307</v>
      </c>
      <c r="C10" s="15" t="str">
        <f>INDEX('Weekly plan'!$D:$D,MATCH(A10,'Weekly plan'!$A:$A,0))</f>
        <v>Month -6 · Quiet foundation</v>
      </c>
      <c r="D10" s="15" t="s">
        <v>22</v>
      </c>
      <c r="E10" s="15" t="s">
        <v>236</v>
      </c>
      <c r="F10" s="22"/>
      <c r="G10" s="23"/>
    </row>
    <row r="11" spans="1:7" x14ac:dyDescent="0.3">
      <c r="A11" s="15">
        <v>2</v>
      </c>
      <c r="B11" s="16">
        <f>INDEX('Weekly plan'!$C:$C,MATCH(A11,'Weekly plan'!$A:$A,0))</f>
        <v>46314</v>
      </c>
      <c r="C11" s="15" t="str">
        <f>INDEX('Weekly plan'!$D:$D,MATCH(A11,'Weekly plan'!$A:$A,0))</f>
        <v>Month -6 · Quiet foundation</v>
      </c>
      <c r="D11" s="15" t="s">
        <v>42</v>
      </c>
      <c r="E11" s="15" t="s">
        <v>237</v>
      </c>
      <c r="F11" s="22"/>
      <c r="G11" s="23"/>
    </row>
    <row r="12" spans="1:7" x14ac:dyDescent="0.3">
      <c r="A12" s="15">
        <v>2</v>
      </c>
      <c r="B12" s="16">
        <f>INDEX('Weekly plan'!$C:$C,MATCH(A12,'Weekly plan'!$A:$A,0))</f>
        <v>46314</v>
      </c>
      <c r="C12" s="15" t="str">
        <f>INDEX('Weekly plan'!$D:$D,MATCH(A12,'Weekly plan'!$A:$A,0))</f>
        <v>Month -6 · Quiet foundation</v>
      </c>
      <c r="D12" s="15" t="s">
        <v>42</v>
      </c>
      <c r="E12" s="15" t="s">
        <v>238</v>
      </c>
      <c r="F12" s="22"/>
      <c r="G12" s="23"/>
    </row>
    <row r="13" spans="1:7" x14ac:dyDescent="0.3">
      <c r="A13" s="15">
        <v>2</v>
      </c>
      <c r="B13" s="16">
        <f>INDEX('Weekly plan'!$C:$C,MATCH(A13,'Weekly plan'!$A:$A,0))</f>
        <v>46314</v>
      </c>
      <c r="C13" s="15" t="str">
        <f>INDEX('Weekly plan'!$D:$D,MATCH(A13,'Weekly plan'!$A:$A,0))</f>
        <v>Month -6 · Quiet foundation</v>
      </c>
      <c r="D13" s="15" t="s">
        <v>239</v>
      </c>
      <c r="E13" s="15" t="s">
        <v>240</v>
      </c>
      <c r="F13" s="22"/>
      <c r="G13" s="23"/>
    </row>
    <row r="14" spans="1:7" x14ac:dyDescent="0.3">
      <c r="A14" s="15">
        <v>2</v>
      </c>
      <c r="B14" s="16">
        <f>INDEX('Weekly plan'!$C:$C,MATCH(A14,'Weekly plan'!$A:$A,0))</f>
        <v>46314</v>
      </c>
      <c r="C14" s="15" t="str">
        <f>INDEX('Weekly plan'!$D:$D,MATCH(A14,'Weekly plan'!$A:$A,0))</f>
        <v>Month -6 · Quiet foundation</v>
      </c>
      <c r="D14" s="15" t="s">
        <v>22</v>
      </c>
      <c r="E14" s="15" t="s">
        <v>236</v>
      </c>
      <c r="F14" s="22"/>
      <c r="G14" s="23"/>
    </row>
    <row r="15" spans="1:7" x14ac:dyDescent="0.3">
      <c r="A15" s="15">
        <v>3</v>
      </c>
      <c r="B15" s="16">
        <f>INDEX('Weekly plan'!$C:$C,MATCH(A15,'Weekly plan'!$A:$A,0))</f>
        <v>46321</v>
      </c>
      <c r="C15" s="15" t="str">
        <f>INDEX('Weekly plan'!$D:$D,MATCH(A15,'Weekly plan'!$A:$A,0))</f>
        <v>Month -6 · Quiet foundation</v>
      </c>
      <c r="D15" s="15" t="s">
        <v>42</v>
      </c>
      <c r="E15" s="15" t="s">
        <v>241</v>
      </c>
      <c r="F15" s="22"/>
      <c r="G15" s="23"/>
    </row>
    <row r="16" spans="1:7" x14ac:dyDescent="0.3">
      <c r="A16" s="15">
        <v>3</v>
      </c>
      <c r="B16" s="16">
        <f>INDEX('Weekly plan'!$C:$C,MATCH(A16,'Weekly plan'!$A:$A,0))</f>
        <v>46321</v>
      </c>
      <c r="C16" s="15" t="str">
        <f>INDEX('Weekly plan'!$D:$D,MATCH(A16,'Weekly plan'!$A:$A,0))</f>
        <v>Month -6 · Quiet foundation</v>
      </c>
      <c r="D16" s="15" t="s">
        <v>242</v>
      </c>
      <c r="E16" s="15" t="s">
        <v>243</v>
      </c>
      <c r="F16" s="22"/>
      <c r="G16" s="23"/>
    </row>
    <row r="17" spans="1:7" x14ac:dyDescent="0.3">
      <c r="A17" s="15">
        <v>3</v>
      </c>
      <c r="B17" s="16">
        <f>INDEX('Weekly plan'!$C:$C,MATCH(A17,'Weekly plan'!$A:$A,0))</f>
        <v>46321</v>
      </c>
      <c r="C17" s="15" t="str">
        <f>INDEX('Weekly plan'!$D:$D,MATCH(A17,'Weekly plan'!$A:$A,0))</f>
        <v>Month -6 · Quiet foundation</v>
      </c>
      <c r="D17" s="15" t="s">
        <v>22</v>
      </c>
      <c r="E17" s="15" t="s">
        <v>236</v>
      </c>
      <c r="F17" s="22"/>
      <c r="G17" s="23"/>
    </row>
    <row r="18" spans="1:7" x14ac:dyDescent="0.3">
      <c r="A18" s="15">
        <v>4</v>
      </c>
      <c r="B18" s="16">
        <f>INDEX('Weekly plan'!$C:$C,MATCH(A18,'Weekly plan'!$A:$A,0))</f>
        <v>46328</v>
      </c>
      <c r="C18" s="15" t="str">
        <f>INDEX('Weekly plan'!$D:$D,MATCH(A18,'Weekly plan'!$A:$A,0))</f>
        <v>Month -6 · Quiet foundation</v>
      </c>
      <c r="D18" s="15" t="s">
        <v>234</v>
      </c>
      <c r="E18" s="15" t="s">
        <v>244</v>
      </c>
      <c r="F18" s="22"/>
      <c r="G18" s="23"/>
    </row>
    <row r="19" spans="1:7" x14ac:dyDescent="0.3">
      <c r="A19" s="15">
        <v>4</v>
      </c>
      <c r="B19" s="16">
        <f>INDEX('Weekly plan'!$C:$C,MATCH(A19,'Weekly plan'!$A:$A,0))</f>
        <v>46328</v>
      </c>
      <c r="C19" s="15" t="str">
        <f>INDEX('Weekly plan'!$D:$D,MATCH(A19,'Weekly plan'!$A:$A,0))</f>
        <v>Month -6 · Quiet foundation</v>
      </c>
      <c r="D19" s="15" t="s">
        <v>234</v>
      </c>
      <c r="E19" s="15" t="s">
        <v>245</v>
      </c>
      <c r="F19" s="22"/>
      <c r="G19" s="23"/>
    </row>
    <row r="20" spans="1:7" x14ac:dyDescent="0.3">
      <c r="A20" s="15">
        <v>4</v>
      </c>
      <c r="B20" s="16">
        <f>INDEX('Weekly plan'!$C:$C,MATCH(A20,'Weekly plan'!$A:$A,0))</f>
        <v>46328</v>
      </c>
      <c r="C20" s="15" t="str">
        <f>INDEX('Weekly plan'!$D:$D,MATCH(A20,'Weekly plan'!$A:$A,0))</f>
        <v>Month -6 · Quiet foundation</v>
      </c>
      <c r="D20" s="15" t="s">
        <v>246</v>
      </c>
      <c r="E20" s="15" t="s">
        <v>247</v>
      </c>
      <c r="F20" s="22"/>
      <c r="G20" s="23"/>
    </row>
    <row r="21" spans="1:7" x14ac:dyDescent="0.3">
      <c r="A21" s="15">
        <v>4</v>
      </c>
      <c r="B21" s="16">
        <f>INDEX('Weekly plan'!$C:$C,MATCH(A21,'Weekly plan'!$A:$A,0))</f>
        <v>46328</v>
      </c>
      <c r="C21" s="15" t="str">
        <f>INDEX('Weekly plan'!$D:$D,MATCH(A21,'Weekly plan'!$A:$A,0))</f>
        <v>Month -6 · Quiet foundation</v>
      </c>
      <c r="D21" s="15" t="s">
        <v>22</v>
      </c>
      <c r="E21" s="15" t="s">
        <v>236</v>
      </c>
      <c r="F21" s="22"/>
      <c r="G21" s="23"/>
    </row>
    <row r="22" spans="1:7" x14ac:dyDescent="0.3">
      <c r="A22" s="15">
        <v>5</v>
      </c>
      <c r="B22" s="16">
        <f>INDEX('Weekly plan'!$C:$C,MATCH(A22,'Weekly plan'!$A:$A,0))</f>
        <v>46335</v>
      </c>
      <c r="C22" s="15" t="str">
        <f>INDEX('Weekly plan'!$D:$D,MATCH(A22,'Weekly plan'!$A:$A,0))</f>
        <v>Month -5 · Trust-building</v>
      </c>
      <c r="D22" s="15" t="s">
        <v>42</v>
      </c>
      <c r="E22" s="15" t="s">
        <v>248</v>
      </c>
      <c r="F22" s="22"/>
      <c r="G22" s="23"/>
    </row>
    <row r="23" spans="1:7" x14ac:dyDescent="0.3">
      <c r="A23" s="15">
        <v>5</v>
      </c>
      <c r="B23" s="16">
        <f>INDEX('Weekly plan'!$C:$C,MATCH(A23,'Weekly plan'!$A:$A,0))</f>
        <v>46335</v>
      </c>
      <c r="C23" s="15" t="str">
        <f>INDEX('Weekly plan'!$D:$D,MATCH(A23,'Weekly plan'!$A:$A,0))</f>
        <v>Month -5 · Trust-building</v>
      </c>
      <c r="D23" s="15" t="s">
        <v>43</v>
      </c>
      <c r="E23" s="15" t="s">
        <v>249</v>
      </c>
      <c r="F23" s="22"/>
      <c r="G23" s="23"/>
    </row>
    <row r="24" spans="1:7" x14ac:dyDescent="0.3">
      <c r="A24" s="15">
        <v>5</v>
      </c>
      <c r="B24" s="16">
        <f>INDEX('Weekly plan'!$C:$C,MATCH(A24,'Weekly plan'!$A:$A,0))</f>
        <v>46335</v>
      </c>
      <c r="C24" s="15" t="str">
        <f>INDEX('Weekly plan'!$D:$D,MATCH(A24,'Weekly plan'!$A:$A,0))</f>
        <v>Month -5 · Trust-building</v>
      </c>
      <c r="D24" s="15" t="s">
        <v>250</v>
      </c>
      <c r="E24" s="15" t="s">
        <v>251</v>
      </c>
      <c r="F24" s="22"/>
      <c r="G24" s="23"/>
    </row>
    <row r="25" spans="1:7" x14ac:dyDescent="0.3">
      <c r="A25" s="15">
        <v>5</v>
      </c>
      <c r="B25" s="16">
        <f>INDEX('Weekly plan'!$C:$C,MATCH(A25,'Weekly plan'!$A:$A,0))</f>
        <v>46335</v>
      </c>
      <c r="C25" s="15" t="str">
        <f>INDEX('Weekly plan'!$D:$D,MATCH(A25,'Weekly plan'!$A:$A,0))</f>
        <v>Month -5 · Trust-building</v>
      </c>
      <c r="D25" s="15" t="s">
        <v>22</v>
      </c>
      <c r="E25" s="15" t="s">
        <v>236</v>
      </c>
      <c r="F25" s="22"/>
      <c r="G25" s="23"/>
    </row>
    <row r="26" spans="1:7" x14ac:dyDescent="0.3">
      <c r="A26" s="15">
        <v>6</v>
      </c>
      <c r="B26" s="16">
        <f>INDEX('Weekly plan'!$C:$C,MATCH(A26,'Weekly plan'!$A:$A,0))</f>
        <v>46342</v>
      </c>
      <c r="C26" s="15" t="str">
        <f>INDEX('Weekly plan'!$D:$D,MATCH(A26,'Weekly plan'!$A:$A,0))</f>
        <v>Month -5 · Trust-building</v>
      </c>
      <c r="D26" s="15" t="s">
        <v>42</v>
      </c>
      <c r="E26" s="15" t="s">
        <v>248</v>
      </c>
      <c r="F26" s="22"/>
      <c r="G26" s="23"/>
    </row>
    <row r="27" spans="1:7" x14ac:dyDescent="0.3">
      <c r="A27" s="15">
        <v>6</v>
      </c>
      <c r="B27" s="16">
        <f>INDEX('Weekly plan'!$C:$C,MATCH(A27,'Weekly plan'!$A:$A,0))</f>
        <v>46342</v>
      </c>
      <c r="C27" s="15" t="str">
        <f>INDEX('Weekly plan'!$D:$D,MATCH(A27,'Weekly plan'!$A:$A,0))</f>
        <v>Month -5 · Trust-building</v>
      </c>
      <c r="D27" s="15" t="s">
        <v>44</v>
      </c>
      <c r="E27" s="15" t="s">
        <v>252</v>
      </c>
      <c r="F27" s="22"/>
      <c r="G27" s="23"/>
    </row>
    <row r="28" spans="1:7" x14ac:dyDescent="0.3">
      <c r="A28" s="15">
        <v>6</v>
      </c>
      <c r="B28" s="16">
        <f>INDEX('Weekly plan'!$C:$C,MATCH(A28,'Weekly plan'!$A:$A,0))</f>
        <v>46342</v>
      </c>
      <c r="C28" s="15" t="str">
        <f>INDEX('Weekly plan'!$D:$D,MATCH(A28,'Weekly plan'!$A:$A,0))</f>
        <v>Month -5 · Trust-building</v>
      </c>
      <c r="D28" s="15" t="s">
        <v>253</v>
      </c>
      <c r="E28" s="15" t="s">
        <v>254</v>
      </c>
      <c r="F28" s="22"/>
      <c r="G28" s="23"/>
    </row>
    <row r="29" spans="1:7" x14ac:dyDescent="0.3">
      <c r="A29" s="15">
        <v>6</v>
      </c>
      <c r="B29" s="16">
        <f>INDEX('Weekly plan'!$C:$C,MATCH(A29,'Weekly plan'!$A:$A,0))</f>
        <v>46342</v>
      </c>
      <c r="C29" s="15" t="str">
        <f>INDEX('Weekly plan'!$D:$D,MATCH(A29,'Weekly plan'!$A:$A,0))</f>
        <v>Month -5 · Trust-building</v>
      </c>
      <c r="D29" s="15" t="s">
        <v>250</v>
      </c>
      <c r="E29" s="15" t="s">
        <v>251</v>
      </c>
      <c r="F29" s="22"/>
      <c r="G29" s="23"/>
    </row>
    <row r="30" spans="1:7" x14ac:dyDescent="0.3">
      <c r="A30" s="15">
        <v>6</v>
      </c>
      <c r="B30" s="16">
        <f>INDEX('Weekly plan'!$C:$C,MATCH(A30,'Weekly plan'!$A:$A,0))</f>
        <v>46342</v>
      </c>
      <c r="C30" s="15" t="str">
        <f>INDEX('Weekly plan'!$D:$D,MATCH(A30,'Weekly plan'!$A:$A,0))</f>
        <v>Month -5 · Trust-building</v>
      </c>
      <c r="D30" s="15" t="s">
        <v>22</v>
      </c>
      <c r="E30" s="15" t="s">
        <v>236</v>
      </c>
      <c r="F30" s="22"/>
      <c r="G30" s="23"/>
    </row>
    <row r="31" spans="1:7" x14ac:dyDescent="0.3">
      <c r="A31" s="15">
        <v>7</v>
      </c>
      <c r="B31" s="16">
        <f>INDEX('Weekly plan'!$C:$C,MATCH(A31,'Weekly plan'!$A:$A,0))</f>
        <v>46349</v>
      </c>
      <c r="C31" s="15" t="str">
        <f>INDEX('Weekly plan'!$D:$D,MATCH(A31,'Weekly plan'!$A:$A,0))</f>
        <v>Month -5 · Trust-building</v>
      </c>
      <c r="D31" s="15" t="s">
        <v>42</v>
      </c>
      <c r="E31" s="15" t="s">
        <v>248</v>
      </c>
      <c r="F31" s="22"/>
      <c r="G31" s="23"/>
    </row>
    <row r="32" spans="1:7" x14ac:dyDescent="0.3">
      <c r="A32" s="15">
        <v>7</v>
      </c>
      <c r="B32" s="16">
        <f>INDEX('Weekly plan'!$C:$C,MATCH(A32,'Weekly plan'!$A:$A,0))</f>
        <v>46349</v>
      </c>
      <c r="C32" s="15" t="str">
        <f>INDEX('Weekly plan'!$D:$D,MATCH(A32,'Weekly plan'!$A:$A,0))</f>
        <v>Month -5 · Trust-building</v>
      </c>
      <c r="D32" s="15" t="s">
        <v>43</v>
      </c>
      <c r="E32" s="15" t="s">
        <v>255</v>
      </c>
      <c r="F32" s="22"/>
      <c r="G32" s="23"/>
    </row>
    <row r="33" spans="1:7" ht="26.4" x14ac:dyDescent="0.3">
      <c r="A33" s="15">
        <v>7</v>
      </c>
      <c r="B33" s="16">
        <f>INDEX('Weekly plan'!$C:$C,MATCH(A33,'Weekly plan'!$A:$A,0))</f>
        <v>46349</v>
      </c>
      <c r="C33" s="15" t="str">
        <f>INDEX('Weekly plan'!$D:$D,MATCH(A33,'Weekly plan'!$A:$A,0))</f>
        <v>Month -5 · Trust-building</v>
      </c>
      <c r="D33" s="15" t="s">
        <v>256</v>
      </c>
      <c r="E33" s="15" t="s">
        <v>257</v>
      </c>
      <c r="F33" s="22"/>
      <c r="G33" s="23"/>
    </row>
    <row r="34" spans="1:7" x14ac:dyDescent="0.3">
      <c r="A34" s="15">
        <v>7</v>
      </c>
      <c r="B34" s="16">
        <f>INDEX('Weekly plan'!$C:$C,MATCH(A34,'Weekly plan'!$A:$A,0))</f>
        <v>46349</v>
      </c>
      <c r="C34" s="15" t="str">
        <f>INDEX('Weekly plan'!$D:$D,MATCH(A34,'Weekly plan'!$A:$A,0))</f>
        <v>Month -5 · Trust-building</v>
      </c>
      <c r="D34" s="15" t="s">
        <v>250</v>
      </c>
      <c r="E34" s="15" t="s">
        <v>251</v>
      </c>
      <c r="F34" s="22"/>
      <c r="G34" s="23"/>
    </row>
    <row r="35" spans="1:7" x14ac:dyDescent="0.3">
      <c r="A35" s="15">
        <v>7</v>
      </c>
      <c r="B35" s="16">
        <f>INDEX('Weekly plan'!$C:$C,MATCH(A35,'Weekly plan'!$A:$A,0))</f>
        <v>46349</v>
      </c>
      <c r="C35" s="15" t="str">
        <f>INDEX('Weekly plan'!$D:$D,MATCH(A35,'Weekly plan'!$A:$A,0))</f>
        <v>Month -5 · Trust-building</v>
      </c>
      <c r="D35" s="15" t="s">
        <v>22</v>
      </c>
      <c r="E35" s="15" t="s">
        <v>236</v>
      </c>
      <c r="F35" s="22"/>
      <c r="G35" s="23"/>
    </row>
    <row r="36" spans="1:7" x14ac:dyDescent="0.3">
      <c r="A36" s="15">
        <v>8</v>
      </c>
      <c r="B36" s="16">
        <f>INDEX('Weekly plan'!$C:$C,MATCH(A36,'Weekly plan'!$A:$A,0))</f>
        <v>46356</v>
      </c>
      <c r="C36" s="15" t="str">
        <f>INDEX('Weekly plan'!$D:$D,MATCH(A36,'Weekly plan'!$A:$A,0))</f>
        <v>Month -5 · Trust-building</v>
      </c>
      <c r="D36" s="15" t="s">
        <v>42</v>
      </c>
      <c r="E36" s="15" t="s">
        <v>248</v>
      </c>
      <c r="F36" s="22"/>
      <c r="G36" s="23"/>
    </row>
    <row r="37" spans="1:7" x14ac:dyDescent="0.3">
      <c r="A37" s="15">
        <v>8</v>
      </c>
      <c r="B37" s="16">
        <f>INDEX('Weekly plan'!$C:$C,MATCH(A37,'Weekly plan'!$A:$A,0))</f>
        <v>46356</v>
      </c>
      <c r="C37" s="15" t="str">
        <f>INDEX('Weekly plan'!$D:$D,MATCH(A37,'Weekly plan'!$A:$A,0))</f>
        <v>Month -5 · Trust-building</v>
      </c>
      <c r="D37" s="15" t="s">
        <v>183</v>
      </c>
      <c r="E37" s="15" t="s">
        <v>258</v>
      </c>
      <c r="F37" s="22"/>
      <c r="G37" s="23"/>
    </row>
    <row r="38" spans="1:7" x14ac:dyDescent="0.3">
      <c r="A38" s="15">
        <v>8</v>
      </c>
      <c r="B38" s="16">
        <f>INDEX('Weekly plan'!$C:$C,MATCH(A38,'Weekly plan'!$A:$A,0))</f>
        <v>46356</v>
      </c>
      <c r="C38" s="15" t="str">
        <f>INDEX('Weekly plan'!$D:$D,MATCH(A38,'Weekly plan'!$A:$A,0))</f>
        <v>Month -5 · Trust-building</v>
      </c>
      <c r="D38" s="15" t="s">
        <v>250</v>
      </c>
      <c r="E38" s="15" t="s">
        <v>251</v>
      </c>
      <c r="F38" s="22"/>
      <c r="G38" s="23"/>
    </row>
    <row r="39" spans="1:7" x14ac:dyDescent="0.3">
      <c r="A39" s="15">
        <v>8</v>
      </c>
      <c r="B39" s="16">
        <f>INDEX('Weekly plan'!$C:$C,MATCH(A39,'Weekly plan'!$A:$A,0))</f>
        <v>46356</v>
      </c>
      <c r="C39" s="15" t="str">
        <f>INDEX('Weekly plan'!$D:$D,MATCH(A39,'Weekly plan'!$A:$A,0))</f>
        <v>Month -5 · Trust-building</v>
      </c>
      <c r="D39" s="15" t="s">
        <v>246</v>
      </c>
      <c r="E39" s="15" t="s">
        <v>259</v>
      </c>
      <c r="F39" s="22"/>
      <c r="G39" s="23"/>
    </row>
    <row r="40" spans="1:7" x14ac:dyDescent="0.3">
      <c r="A40" s="15">
        <v>8</v>
      </c>
      <c r="B40" s="16">
        <f>INDEX('Weekly plan'!$C:$C,MATCH(A40,'Weekly plan'!$A:$A,0))</f>
        <v>46356</v>
      </c>
      <c r="C40" s="15" t="str">
        <f>INDEX('Weekly plan'!$D:$D,MATCH(A40,'Weekly plan'!$A:$A,0))</f>
        <v>Month -5 · Trust-building</v>
      </c>
      <c r="D40" s="15" t="s">
        <v>22</v>
      </c>
      <c r="E40" s="15" t="s">
        <v>236</v>
      </c>
      <c r="F40" s="22"/>
      <c r="G40" s="23"/>
    </row>
    <row r="41" spans="1:7" ht="26.4" x14ac:dyDescent="0.3">
      <c r="A41" s="15">
        <v>9</v>
      </c>
      <c r="B41" s="16">
        <f>INDEX('Weekly plan'!$C:$C,MATCH(A41,'Weekly plan'!$A:$A,0))</f>
        <v>46363</v>
      </c>
      <c r="C41" s="15" t="str">
        <f>INDEX('Weekly plan'!$D:$D,MATCH(A41,'Weekly plan'!$A:$A,0))</f>
        <v>Month -4 · Soft mentions + referrals</v>
      </c>
      <c r="D41" s="15" t="s">
        <v>42</v>
      </c>
      <c r="E41" s="15" t="s">
        <v>260</v>
      </c>
      <c r="F41" s="22"/>
      <c r="G41" s="23"/>
    </row>
    <row r="42" spans="1:7" ht="26.4" x14ac:dyDescent="0.3">
      <c r="A42" s="15">
        <v>9</v>
      </c>
      <c r="B42" s="16">
        <f>INDEX('Weekly plan'!$C:$C,MATCH(A42,'Weekly plan'!$A:$A,0))</f>
        <v>46363</v>
      </c>
      <c r="C42" s="15" t="str">
        <f>INDEX('Weekly plan'!$D:$D,MATCH(A42,'Weekly plan'!$A:$A,0))</f>
        <v>Month -4 · Soft mentions + referrals</v>
      </c>
      <c r="D42" s="15" t="s">
        <v>43</v>
      </c>
      <c r="E42" s="15" t="s">
        <v>261</v>
      </c>
      <c r="F42" s="22"/>
      <c r="G42" s="23"/>
    </row>
    <row r="43" spans="1:7" ht="26.4" x14ac:dyDescent="0.3">
      <c r="A43" s="15">
        <v>9</v>
      </c>
      <c r="B43" s="16">
        <f>INDEX('Weekly plan'!$C:$C,MATCH(A43,'Weekly plan'!$A:$A,0))</f>
        <v>46363</v>
      </c>
      <c r="C43" s="15" t="str">
        <f>INDEX('Weekly plan'!$D:$D,MATCH(A43,'Weekly plan'!$A:$A,0))</f>
        <v>Month -4 · Soft mentions + referrals</v>
      </c>
      <c r="D43" s="15" t="s">
        <v>22</v>
      </c>
      <c r="E43" s="15" t="s">
        <v>236</v>
      </c>
      <c r="F43" s="22"/>
      <c r="G43" s="23"/>
    </row>
    <row r="44" spans="1:7" ht="26.4" x14ac:dyDescent="0.3">
      <c r="A44" s="15">
        <v>10</v>
      </c>
      <c r="B44" s="16">
        <f>INDEX('Weekly plan'!$C:$C,MATCH(A44,'Weekly plan'!$A:$A,0))</f>
        <v>46370</v>
      </c>
      <c r="C44" s="15" t="str">
        <f>INDEX('Weekly plan'!$D:$D,MATCH(A44,'Weekly plan'!$A:$A,0))</f>
        <v>Month -4 · Soft mentions + referrals</v>
      </c>
      <c r="D44" s="15" t="s">
        <v>42</v>
      </c>
      <c r="E44" s="15" t="s">
        <v>262</v>
      </c>
      <c r="F44" s="22"/>
      <c r="G44" s="23"/>
    </row>
    <row r="45" spans="1:7" ht="26.4" x14ac:dyDescent="0.3">
      <c r="A45" s="15">
        <v>10</v>
      </c>
      <c r="B45" s="16">
        <f>INDEX('Weekly plan'!$C:$C,MATCH(A45,'Weekly plan'!$A:$A,0))</f>
        <v>46370</v>
      </c>
      <c r="C45" s="15" t="str">
        <f>INDEX('Weekly plan'!$D:$D,MATCH(A45,'Weekly plan'!$A:$A,0))</f>
        <v>Month -4 · Soft mentions + referrals</v>
      </c>
      <c r="D45" s="15" t="s">
        <v>43</v>
      </c>
      <c r="E45" s="15" t="s">
        <v>263</v>
      </c>
      <c r="F45" s="22"/>
      <c r="G45" s="23"/>
    </row>
    <row r="46" spans="1:7" ht="26.4" x14ac:dyDescent="0.3">
      <c r="A46" s="15">
        <v>10</v>
      </c>
      <c r="B46" s="16">
        <f>INDEX('Weekly plan'!$C:$C,MATCH(A46,'Weekly plan'!$A:$A,0))</f>
        <v>46370</v>
      </c>
      <c r="C46" s="15" t="str">
        <f>INDEX('Weekly plan'!$D:$D,MATCH(A46,'Weekly plan'!$A:$A,0))</f>
        <v>Month -4 · Soft mentions + referrals</v>
      </c>
      <c r="D46" s="15" t="s">
        <v>46</v>
      </c>
      <c r="E46" s="15" t="s">
        <v>264</v>
      </c>
      <c r="F46" s="22"/>
      <c r="G46" s="23"/>
    </row>
    <row r="47" spans="1:7" ht="26.4" x14ac:dyDescent="0.3">
      <c r="A47" s="15">
        <v>10</v>
      </c>
      <c r="B47" s="16">
        <f>INDEX('Weekly plan'!$C:$C,MATCH(A47,'Weekly plan'!$A:$A,0))</f>
        <v>46370</v>
      </c>
      <c r="C47" s="15" t="str">
        <f>INDEX('Weekly plan'!$D:$D,MATCH(A47,'Weekly plan'!$A:$A,0))</f>
        <v>Month -4 · Soft mentions + referrals</v>
      </c>
      <c r="D47" s="15" t="s">
        <v>22</v>
      </c>
      <c r="E47" s="15" t="s">
        <v>236</v>
      </c>
      <c r="F47" s="22"/>
      <c r="G47" s="23"/>
    </row>
    <row r="48" spans="1:7" ht="26.4" x14ac:dyDescent="0.3">
      <c r="A48" s="15">
        <v>11</v>
      </c>
      <c r="B48" s="16">
        <f>INDEX('Weekly plan'!$C:$C,MATCH(A48,'Weekly plan'!$A:$A,0))</f>
        <v>46377</v>
      </c>
      <c r="C48" s="15" t="str">
        <f>INDEX('Weekly plan'!$D:$D,MATCH(A48,'Weekly plan'!$A:$A,0))</f>
        <v>Month -4 · Soft mentions + referrals</v>
      </c>
      <c r="D48" s="15" t="s">
        <v>42</v>
      </c>
      <c r="E48" s="15" t="s">
        <v>265</v>
      </c>
      <c r="F48" s="22"/>
      <c r="G48" s="23"/>
    </row>
    <row r="49" spans="1:7" ht="26.4" x14ac:dyDescent="0.3">
      <c r="A49" s="15">
        <v>11</v>
      </c>
      <c r="B49" s="16">
        <f>INDEX('Weekly plan'!$C:$C,MATCH(A49,'Weekly plan'!$A:$A,0))</f>
        <v>46377</v>
      </c>
      <c r="C49" s="15" t="str">
        <f>INDEX('Weekly plan'!$D:$D,MATCH(A49,'Weekly plan'!$A:$A,0))</f>
        <v>Month -4 · Soft mentions + referrals</v>
      </c>
      <c r="D49" s="15" t="s">
        <v>43</v>
      </c>
      <c r="E49" s="15" t="s">
        <v>266</v>
      </c>
      <c r="F49" s="22"/>
      <c r="G49" s="23"/>
    </row>
    <row r="50" spans="1:7" ht="26.4" x14ac:dyDescent="0.3">
      <c r="A50" s="15">
        <v>11</v>
      </c>
      <c r="B50" s="16">
        <f>INDEX('Weekly plan'!$C:$C,MATCH(A50,'Weekly plan'!$A:$A,0))</f>
        <v>46377</v>
      </c>
      <c r="C50" s="15" t="str">
        <f>INDEX('Weekly plan'!$D:$D,MATCH(A50,'Weekly plan'!$A:$A,0))</f>
        <v>Month -4 · Soft mentions + referrals</v>
      </c>
      <c r="D50" s="15" t="s">
        <v>267</v>
      </c>
      <c r="E50" s="15" t="s">
        <v>268</v>
      </c>
      <c r="F50" s="22"/>
      <c r="G50" s="23"/>
    </row>
    <row r="51" spans="1:7" ht="26.4" x14ac:dyDescent="0.3">
      <c r="A51" s="15">
        <v>11</v>
      </c>
      <c r="B51" s="16">
        <f>INDEX('Weekly plan'!$C:$C,MATCH(A51,'Weekly plan'!$A:$A,0))</f>
        <v>46377</v>
      </c>
      <c r="C51" s="15" t="str">
        <f>INDEX('Weekly plan'!$D:$D,MATCH(A51,'Weekly plan'!$A:$A,0))</f>
        <v>Month -4 · Soft mentions + referrals</v>
      </c>
      <c r="D51" s="15" t="s">
        <v>22</v>
      </c>
      <c r="E51" s="15" t="s">
        <v>236</v>
      </c>
      <c r="F51" s="22"/>
      <c r="G51" s="23"/>
    </row>
    <row r="52" spans="1:7" ht="26.4" x14ac:dyDescent="0.3">
      <c r="A52" s="15">
        <v>12</v>
      </c>
      <c r="B52" s="16">
        <f>INDEX('Weekly plan'!$C:$C,MATCH(A52,'Weekly plan'!$A:$A,0))</f>
        <v>46384</v>
      </c>
      <c r="C52" s="15" t="str">
        <f>INDEX('Weekly plan'!$D:$D,MATCH(A52,'Weekly plan'!$A:$A,0))</f>
        <v>Month -4 · Soft mentions + referrals</v>
      </c>
      <c r="D52" s="15" t="s">
        <v>42</v>
      </c>
      <c r="E52" s="15" t="s">
        <v>265</v>
      </c>
      <c r="F52" s="22"/>
      <c r="G52" s="23"/>
    </row>
    <row r="53" spans="1:7" ht="26.4" x14ac:dyDescent="0.3">
      <c r="A53" s="15">
        <v>12</v>
      </c>
      <c r="B53" s="16">
        <f>INDEX('Weekly plan'!$C:$C,MATCH(A53,'Weekly plan'!$A:$A,0))</f>
        <v>46384</v>
      </c>
      <c r="C53" s="15" t="str">
        <f>INDEX('Weekly plan'!$D:$D,MATCH(A53,'Weekly plan'!$A:$A,0))</f>
        <v>Month -4 · Soft mentions + referrals</v>
      </c>
      <c r="D53" s="15" t="s">
        <v>267</v>
      </c>
      <c r="E53" s="15" t="s">
        <v>269</v>
      </c>
      <c r="F53" s="22"/>
      <c r="G53" s="23"/>
    </row>
    <row r="54" spans="1:7" ht="26.4" x14ac:dyDescent="0.3">
      <c r="A54" s="15">
        <v>12</v>
      </c>
      <c r="B54" s="16">
        <f>INDEX('Weekly plan'!$C:$C,MATCH(A54,'Weekly plan'!$A:$A,0))</f>
        <v>46384</v>
      </c>
      <c r="C54" s="15" t="str">
        <f>INDEX('Weekly plan'!$D:$D,MATCH(A54,'Weekly plan'!$A:$A,0))</f>
        <v>Month -4 · Soft mentions + referrals</v>
      </c>
      <c r="D54" s="15" t="s">
        <v>22</v>
      </c>
      <c r="E54" s="15" t="s">
        <v>236</v>
      </c>
      <c r="F54" s="22"/>
      <c r="G54" s="23"/>
    </row>
    <row r="55" spans="1:7" ht="26.4" x14ac:dyDescent="0.3">
      <c r="A55" s="15">
        <v>13</v>
      </c>
      <c r="B55" s="16">
        <f>INDEX('Weekly plan'!$C:$C,MATCH(A55,'Weekly plan'!$A:$A,0))</f>
        <v>46391</v>
      </c>
      <c r="C55" s="15" t="str">
        <f>INDEX('Weekly plan'!$D:$D,MATCH(A55,'Weekly plan'!$A:$A,0))</f>
        <v>Month -4 · Soft mentions + referrals</v>
      </c>
      <c r="D55" s="15" t="s">
        <v>42</v>
      </c>
      <c r="E55" s="15" t="s">
        <v>270</v>
      </c>
      <c r="F55" s="22"/>
      <c r="G55" s="23"/>
    </row>
    <row r="56" spans="1:7" ht="26.4" x14ac:dyDescent="0.3">
      <c r="A56" s="15">
        <v>13</v>
      </c>
      <c r="B56" s="16">
        <f>INDEX('Weekly plan'!$C:$C,MATCH(A56,'Weekly plan'!$A:$A,0))</f>
        <v>46391</v>
      </c>
      <c r="C56" s="15" t="str">
        <f>INDEX('Weekly plan'!$D:$D,MATCH(A56,'Weekly plan'!$A:$A,0))</f>
        <v>Month -4 · Soft mentions + referrals</v>
      </c>
      <c r="D56" s="15" t="s">
        <v>43</v>
      </c>
      <c r="E56" s="15" t="s">
        <v>271</v>
      </c>
      <c r="F56" s="22"/>
      <c r="G56" s="23"/>
    </row>
    <row r="57" spans="1:7" ht="26.4" x14ac:dyDescent="0.3">
      <c r="A57" s="15">
        <v>13</v>
      </c>
      <c r="B57" s="16">
        <f>INDEX('Weekly plan'!$C:$C,MATCH(A57,'Weekly plan'!$A:$A,0))</f>
        <v>46391</v>
      </c>
      <c r="C57" s="15" t="str">
        <f>INDEX('Weekly plan'!$D:$D,MATCH(A57,'Weekly plan'!$A:$A,0))</f>
        <v>Month -4 · Soft mentions + referrals</v>
      </c>
      <c r="D57" s="15" t="s">
        <v>46</v>
      </c>
      <c r="E57" s="15" t="s">
        <v>272</v>
      </c>
      <c r="F57" s="22"/>
      <c r="G57" s="23"/>
    </row>
    <row r="58" spans="1:7" ht="26.4" x14ac:dyDescent="0.3">
      <c r="A58" s="15">
        <v>13</v>
      </c>
      <c r="B58" s="16">
        <f>INDEX('Weekly plan'!$C:$C,MATCH(A58,'Weekly plan'!$A:$A,0))</f>
        <v>46391</v>
      </c>
      <c r="C58" s="15" t="str">
        <f>INDEX('Weekly plan'!$D:$D,MATCH(A58,'Weekly plan'!$A:$A,0))</f>
        <v>Month -4 · Soft mentions + referrals</v>
      </c>
      <c r="D58" s="15" t="s">
        <v>47</v>
      </c>
      <c r="E58" s="15" t="s">
        <v>273</v>
      </c>
      <c r="F58" s="22"/>
      <c r="G58" s="23"/>
    </row>
    <row r="59" spans="1:7" ht="26.4" x14ac:dyDescent="0.3">
      <c r="A59" s="15">
        <v>13</v>
      </c>
      <c r="B59" s="16">
        <f>INDEX('Weekly plan'!$C:$C,MATCH(A59,'Weekly plan'!$A:$A,0))</f>
        <v>46391</v>
      </c>
      <c r="C59" s="15" t="str">
        <f>INDEX('Weekly plan'!$D:$D,MATCH(A59,'Weekly plan'!$A:$A,0))</f>
        <v>Month -4 · Soft mentions + referrals</v>
      </c>
      <c r="D59" s="15" t="s">
        <v>274</v>
      </c>
      <c r="E59" s="15" t="s">
        <v>275</v>
      </c>
      <c r="F59" s="22"/>
      <c r="G59" s="23"/>
    </row>
    <row r="60" spans="1:7" ht="26.4" x14ac:dyDescent="0.3">
      <c r="A60" s="15">
        <v>13</v>
      </c>
      <c r="B60" s="16">
        <f>INDEX('Weekly plan'!$C:$C,MATCH(A60,'Weekly plan'!$A:$A,0))</f>
        <v>46391</v>
      </c>
      <c r="C60" s="15" t="str">
        <f>INDEX('Weekly plan'!$D:$D,MATCH(A60,'Weekly plan'!$A:$A,0))</f>
        <v>Month -4 · Soft mentions + referrals</v>
      </c>
      <c r="D60" s="15" t="s">
        <v>22</v>
      </c>
      <c r="E60" s="15" t="s">
        <v>236</v>
      </c>
      <c r="F60" s="22"/>
      <c r="G60" s="23"/>
    </row>
    <row r="61" spans="1:7" x14ac:dyDescent="0.3">
      <c r="A61" s="15">
        <v>14</v>
      </c>
      <c r="B61" s="16">
        <f>INDEX('Weekly plan'!$C:$C,MATCH(A61,'Weekly plan'!$A:$A,0))</f>
        <v>46398</v>
      </c>
      <c r="C61" s="15" t="str">
        <f>INDEX('Weekly plan'!$D:$D,MATCH(A61,'Weekly plan'!$A:$A,0))</f>
        <v>Month -3 · Private beta</v>
      </c>
      <c r="D61" s="15" t="s">
        <v>42</v>
      </c>
      <c r="E61" s="15" t="s">
        <v>262</v>
      </c>
      <c r="F61" s="22"/>
      <c r="G61" s="23"/>
    </row>
    <row r="62" spans="1:7" x14ac:dyDescent="0.3">
      <c r="A62" s="15">
        <v>14</v>
      </c>
      <c r="B62" s="16">
        <f>INDEX('Weekly plan'!$C:$C,MATCH(A62,'Weekly plan'!$A:$A,0))</f>
        <v>46398</v>
      </c>
      <c r="C62" s="15" t="str">
        <f>INDEX('Weekly plan'!$D:$D,MATCH(A62,'Weekly plan'!$A:$A,0))</f>
        <v>Month -3 · Private beta</v>
      </c>
      <c r="D62" s="15" t="s">
        <v>46</v>
      </c>
      <c r="E62" s="15" t="s">
        <v>276</v>
      </c>
      <c r="F62" s="22"/>
      <c r="G62" s="23"/>
    </row>
    <row r="63" spans="1:7" ht="26.4" x14ac:dyDescent="0.3">
      <c r="A63" s="15">
        <v>14</v>
      </c>
      <c r="B63" s="16">
        <f>INDEX('Weekly plan'!$C:$C,MATCH(A63,'Weekly plan'!$A:$A,0))</f>
        <v>46398</v>
      </c>
      <c r="C63" s="15" t="str">
        <f>INDEX('Weekly plan'!$D:$D,MATCH(A63,'Weekly plan'!$A:$A,0))</f>
        <v>Month -3 · Private beta</v>
      </c>
      <c r="D63" s="15" t="s">
        <v>277</v>
      </c>
      <c r="E63" s="15" t="s">
        <v>278</v>
      </c>
      <c r="F63" s="22"/>
      <c r="G63" s="23"/>
    </row>
    <row r="64" spans="1:7" x14ac:dyDescent="0.3">
      <c r="A64" s="15">
        <v>14</v>
      </c>
      <c r="B64" s="16">
        <f>INDEX('Weekly plan'!$C:$C,MATCH(A64,'Weekly plan'!$A:$A,0))</f>
        <v>46398</v>
      </c>
      <c r="C64" s="15" t="str">
        <f>INDEX('Weekly plan'!$D:$D,MATCH(A64,'Weekly plan'!$A:$A,0))</f>
        <v>Month -3 · Private beta</v>
      </c>
      <c r="D64" s="15" t="s">
        <v>22</v>
      </c>
      <c r="E64" s="15" t="s">
        <v>236</v>
      </c>
      <c r="F64" s="22"/>
      <c r="G64" s="23"/>
    </row>
    <row r="65" spans="1:7" x14ac:dyDescent="0.3">
      <c r="A65" s="15">
        <v>15</v>
      </c>
      <c r="B65" s="16">
        <f>INDEX('Weekly plan'!$C:$C,MATCH(A65,'Weekly plan'!$A:$A,0))</f>
        <v>46405</v>
      </c>
      <c r="C65" s="15" t="str">
        <f>INDEX('Weekly plan'!$D:$D,MATCH(A65,'Weekly plan'!$A:$A,0))</f>
        <v>Month -3 · Private beta</v>
      </c>
      <c r="D65" s="15" t="s">
        <v>42</v>
      </c>
      <c r="E65" s="15" t="s">
        <v>262</v>
      </c>
      <c r="F65" s="22"/>
      <c r="G65" s="23"/>
    </row>
    <row r="66" spans="1:7" x14ac:dyDescent="0.3">
      <c r="A66" s="15">
        <v>15</v>
      </c>
      <c r="B66" s="16">
        <f>INDEX('Weekly plan'!$C:$C,MATCH(A66,'Weekly plan'!$A:$A,0))</f>
        <v>46405</v>
      </c>
      <c r="C66" s="15" t="str">
        <f>INDEX('Weekly plan'!$D:$D,MATCH(A66,'Weekly plan'!$A:$A,0))</f>
        <v>Month -3 · Private beta</v>
      </c>
      <c r="D66" s="15" t="s">
        <v>43</v>
      </c>
      <c r="E66" s="15" t="s">
        <v>279</v>
      </c>
      <c r="F66" s="22"/>
      <c r="G66" s="23"/>
    </row>
    <row r="67" spans="1:7" x14ac:dyDescent="0.3">
      <c r="A67" s="15">
        <v>15</v>
      </c>
      <c r="B67" s="16">
        <f>INDEX('Weekly plan'!$C:$C,MATCH(A67,'Weekly plan'!$A:$A,0))</f>
        <v>46405</v>
      </c>
      <c r="C67" s="15" t="str">
        <f>INDEX('Weekly plan'!$D:$D,MATCH(A67,'Weekly plan'!$A:$A,0))</f>
        <v>Month -3 · Private beta</v>
      </c>
      <c r="D67" s="15" t="s">
        <v>277</v>
      </c>
      <c r="E67" s="15" t="s">
        <v>280</v>
      </c>
      <c r="F67" s="22"/>
      <c r="G67" s="23"/>
    </row>
    <row r="68" spans="1:7" x14ac:dyDescent="0.3">
      <c r="A68" s="15">
        <v>15</v>
      </c>
      <c r="B68" s="16">
        <f>INDEX('Weekly plan'!$C:$C,MATCH(A68,'Weekly plan'!$A:$A,0))</f>
        <v>46405</v>
      </c>
      <c r="C68" s="15" t="str">
        <f>INDEX('Weekly plan'!$D:$D,MATCH(A68,'Weekly plan'!$A:$A,0))</f>
        <v>Month -3 · Private beta</v>
      </c>
      <c r="D68" s="15" t="s">
        <v>22</v>
      </c>
      <c r="E68" s="15" t="s">
        <v>236</v>
      </c>
      <c r="F68" s="22"/>
      <c r="G68" s="23"/>
    </row>
    <row r="69" spans="1:7" x14ac:dyDescent="0.3">
      <c r="A69" s="15">
        <v>16</v>
      </c>
      <c r="B69" s="16">
        <f>INDEX('Weekly plan'!$C:$C,MATCH(A69,'Weekly plan'!$A:$A,0))</f>
        <v>46412</v>
      </c>
      <c r="C69" s="15" t="str">
        <f>INDEX('Weekly plan'!$D:$D,MATCH(A69,'Weekly plan'!$A:$A,0))</f>
        <v>Month -3 · Private beta</v>
      </c>
      <c r="D69" s="15" t="s">
        <v>42</v>
      </c>
      <c r="E69" s="15" t="s">
        <v>262</v>
      </c>
      <c r="F69" s="22"/>
      <c r="G69" s="23"/>
    </row>
    <row r="70" spans="1:7" x14ac:dyDescent="0.3">
      <c r="A70" s="15">
        <v>16</v>
      </c>
      <c r="B70" s="16">
        <f>INDEX('Weekly plan'!$C:$C,MATCH(A70,'Weekly plan'!$A:$A,0))</f>
        <v>46412</v>
      </c>
      <c r="C70" s="15" t="str">
        <f>INDEX('Weekly plan'!$D:$D,MATCH(A70,'Weekly plan'!$A:$A,0))</f>
        <v>Month -3 · Private beta</v>
      </c>
      <c r="D70" s="15" t="s">
        <v>43</v>
      </c>
      <c r="E70" s="15" t="s">
        <v>281</v>
      </c>
      <c r="F70" s="22"/>
      <c r="G70" s="23"/>
    </row>
    <row r="71" spans="1:7" x14ac:dyDescent="0.3">
      <c r="A71" s="15">
        <v>16</v>
      </c>
      <c r="B71" s="16">
        <f>INDEX('Weekly plan'!$C:$C,MATCH(A71,'Weekly plan'!$A:$A,0))</f>
        <v>46412</v>
      </c>
      <c r="C71" s="15" t="str">
        <f>INDEX('Weekly plan'!$D:$D,MATCH(A71,'Weekly plan'!$A:$A,0))</f>
        <v>Month -3 · Private beta</v>
      </c>
      <c r="D71" s="15" t="s">
        <v>46</v>
      </c>
      <c r="E71" s="15" t="s">
        <v>282</v>
      </c>
      <c r="F71" s="22"/>
      <c r="G71" s="23"/>
    </row>
    <row r="72" spans="1:7" x14ac:dyDescent="0.3">
      <c r="A72" s="15">
        <v>16</v>
      </c>
      <c r="B72" s="16">
        <f>INDEX('Weekly plan'!$C:$C,MATCH(A72,'Weekly plan'!$A:$A,0))</f>
        <v>46412</v>
      </c>
      <c r="C72" s="15" t="str">
        <f>INDEX('Weekly plan'!$D:$D,MATCH(A72,'Weekly plan'!$A:$A,0))</f>
        <v>Month -3 · Private beta</v>
      </c>
      <c r="D72" s="15" t="s">
        <v>47</v>
      </c>
      <c r="E72" s="15" t="s">
        <v>283</v>
      </c>
      <c r="F72" s="22"/>
      <c r="G72" s="23"/>
    </row>
    <row r="73" spans="1:7" x14ac:dyDescent="0.3">
      <c r="A73" s="15">
        <v>16</v>
      </c>
      <c r="B73" s="16">
        <f>INDEX('Weekly plan'!$C:$C,MATCH(A73,'Weekly plan'!$A:$A,0))</f>
        <v>46412</v>
      </c>
      <c r="C73" s="15" t="str">
        <f>INDEX('Weekly plan'!$D:$D,MATCH(A73,'Weekly plan'!$A:$A,0))</f>
        <v>Month -3 · Private beta</v>
      </c>
      <c r="D73" s="15" t="s">
        <v>277</v>
      </c>
      <c r="E73" s="15" t="s">
        <v>280</v>
      </c>
      <c r="F73" s="22"/>
      <c r="G73" s="23"/>
    </row>
    <row r="74" spans="1:7" x14ac:dyDescent="0.3">
      <c r="A74" s="15">
        <v>16</v>
      </c>
      <c r="B74" s="16">
        <f>INDEX('Weekly plan'!$C:$C,MATCH(A74,'Weekly plan'!$A:$A,0))</f>
        <v>46412</v>
      </c>
      <c r="C74" s="15" t="str">
        <f>INDEX('Weekly plan'!$D:$D,MATCH(A74,'Weekly plan'!$A:$A,0))</f>
        <v>Month -3 · Private beta</v>
      </c>
      <c r="D74" s="15" t="s">
        <v>22</v>
      </c>
      <c r="E74" s="15" t="s">
        <v>236</v>
      </c>
      <c r="F74" s="22"/>
      <c r="G74" s="23"/>
    </row>
    <row r="75" spans="1:7" x14ac:dyDescent="0.3">
      <c r="A75" s="15">
        <v>17</v>
      </c>
      <c r="B75" s="16">
        <f>INDEX('Weekly plan'!$C:$C,MATCH(A75,'Weekly plan'!$A:$A,0))</f>
        <v>46419</v>
      </c>
      <c r="C75" s="15" t="str">
        <f>INDEX('Weekly plan'!$D:$D,MATCH(A75,'Weekly plan'!$A:$A,0))</f>
        <v>Month -3 · Private beta</v>
      </c>
      <c r="D75" s="15" t="s">
        <v>42</v>
      </c>
      <c r="E75" s="15" t="s">
        <v>262</v>
      </c>
      <c r="F75" s="22"/>
      <c r="G75" s="23"/>
    </row>
    <row r="76" spans="1:7" x14ac:dyDescent="0.3">
      <c r="A76" s="15">
        <v>17</v>
      </c>
      <c r="B76" s="16">
        <f>INDEX('Weekly plan'!$C:$C,MATCH(A76,'Weekly plan'!$A:$A,0))</f>
        <v>46419</v>
      </c>
      <c r="C76" s="15" t="str">
        <f>INDEX('Weekly plan'!$D:$D,MATCH(A76,'Weekly plan'!$A:$A,0))</f>
        <v>Month -3 · Private beta</v>
      </c>
      <c r="D76" s="15" t="s">
        <v>43</v>
      </c>
      <c r="E76" s="15" t="s">
        <v>284</v>
      </c>
      <c r="F76" s="22"/>
      <c r="G76" s="23"/>
    </row>
    <row r="77" spans="1:7" x14ac:dyDescent="0.3">
      <c r="A77" s="15">
        <v>17</v>
      </c>
      <c r="B77" s="16">
        <f>INDEX('Weekly plan'!$C:$C,MATCH(A77,'Weekly plan'!$A:$A,0))</f>
        <v>46419</v>
      </c>
      <c r="C77" s="15" t="str">
        <f>INDEX('Weekly plan'!$D:$D,MATCH(A77,'Weekly plan'!$A:$A,0))</f>
        <v>Month -3 · Private beta</v>
      </c>
      <c r="D77" s="15" t="s">
        <v>277</v>
      </c>
      <c r="E77" s="15" t="s">
        <v>280</v>
      </c>
      <c r="F77" s="22"/>
      <c r="G77" s="23"/>
    </row>
    <row r="78" spans="1:7" x14ac:dyDescent="0.3">
      <c r="A78" s="15">
        <v>17</v>
      </c>
      <c r="B78" s="16">
        <f>INDEX('Weekly plan'!$C:$C,MATCH(A78,'Weekly plan'!$A:$A,0))</f>
        <v>46419</v>
      </c>
      <c r="C78" s="15" t="str">
        <f>INDEX('Weekly plan'!$D:$D,MATCH(A78,'Weekly plan'!$A:$A,0))</f>
        <v>Month -3 · Private beta</v>
      </c>
      <c r="D78" s="15" t="s">
        <v>246</v>
      </c>
      <c r="E78" s="15" t="s">
        <v>285</v>
      </c>
      <c r="F78" s="22"/>
      <c r="G78" s="23"/>
    </row>
    <row r="79" spans="1:7" x14ac:dyDescent="0.3">
      <c r="A79" s="15">
        <v>17</v>
      </c>
      <c r="B79" s="16">
        <f>INDEX('Weekly plan'!$C:$C,MATCH(A79,'Weekly plan'!$A:$A,0))</f>
        <v>46419</v>
      </c>
      <c r="C79" s="15" t="str">
        <f>INDEX('Weekly plan'!$D:$D,MATCH(A79,'Weekly plan'!$A:$A,0))</f>
        <v>Month -3 · Private beta</v>
      </c>
      <c r="D79" s="15" t="s">
        <v>22</v>
      </c>
      <c r="E79" s="15" t="s">
        <v>236</v>
      </c>
      <c r="F79" s="22"/>
      <c r="G79" s="23"/>
    </row>
    <row r="80" spans="1:7" x14ac:dyDescent="0.3">
      <c r="A80" s="15">
        <v>18</v>
      </c>
      <c r="B80" s="16">
        <f>INDEX('Weekly plan'!$C:$C,MATCH(A80,'Weekly plan'!$A:$A,0))</f>
        <v>46426</v>
      </c>
      <c r="C80" s="15" t="str">
        <f>INDEX('Weekly plan'!$D:$D,MATCH(A80,'Weekly plan'!$A:$A,0))</f>
        <v>Month -2 · Proof building</v>
      </c>
      <c r="D80" s="15" t="s">
        <v>42</v>
      </c>
      <c r="E80" s="15" t="s">
        <v>286</v>
      </c>
      <c r="F80" s="22"/>
      <c r="G80" s="23"/>
    </row>
    <row r="81" spans="1:7" x14ac:dyDescent="0.3">
      <c r="A81" s="15">
        <v>18</v>
      </c>
      <c r="B81" s="16">
        <f>INDEX('Weekly plan'!$C:$C,MATCH(A81,'Weekly plan'!$A:$A,0))</f>
        <v>46426</v>
      </c>
      <c r="C81" s="15" t="str">
        <f>INDEX('Weekly plan'!$D:$D,MATCH(A81,'Weekly plan'!$A:$A,0))</f>
        <v>Month -2 · Proof building</v>
      </c>
      <c r="D81" s="15" t="s">
        <v>44</v>
      </c>
      <c r="E81" s="15" t="s">
        <v>287</v>
      </c>
      <c r="F81" s="22"/>
      <c r="G81" s="23"/>
    </row>
    <row r="82" spans="1:7" x14ac:dyDescent="0.3">
      <c r="A82" s="15">
        <v>18</v>
      </c>
      <c r="B82" s="16">
        <f>INDEX('Weekly plan'!$C:$C,MATCH(A82,'Weekly plan'!$A:$A,0))</f>
        <v>46426</v>
      </c>
      <c r="C82" s="15" t="str">
        <f>INDEX('Weekly plan'!$D:$D,MATCH(A82,'Weekly plan'!$A:$A,0))</f>
        <v>Month -2 · Proof building</v>
      </c>
      <c r="D82" s="15" t="s">
        <v>45</v>
      </c>
      <c r="E82" s="15" t="s">
        <v>288</v>
      </c>
      <c r="F82" s="22"/>
      <c r="G82" s="23"/>
    </row>
    <row r="83" spans="1:7" x14ac:dyDescent="0.3">
      <c r="A83" s="15">
        <v>18</v>
      </c>
      <c r="B83" s="16">
        <f>INDEX('Weekly plan'!$C:$C,MATCH(A83,'Weekly plan'!$A:$A,0))</f>
        <v>46426</v>
      </c>
      <c r="C83" s="15" t="str">
        <f>INDEX('Weekly plan'!$D:$D,MATCH(A83,'Weekly plan'!$A:$A,0))</f>
        <v>Month -2 · Proof building</v>
      </c>
      <c r="D83" s="15" t="s">
        <v>46</v>
      </c>
      <c r="E83" s="15" t="s">
        <v>289</v>
      </c>
      <c r="F83" s="22"/>
      <c r="G83" s="23"/>
    </row>
    <row r="84" spans="1:7" x14ac:dyDescent="0.3">
      <c r="A84" s="15">
        <v>18</v>
      </c>
      <c r="B84" s="16">
        <f>INDEX('Weekly plan'!$C:$C,MATCH(A84,'Weekly plan'!$A:$A,0))</f>
        <v>46426</v>
      </c>
      <c r="C84" s="15" t="str">
        <f>INDEX('Weekly plan'!$D:$D,MATCH(A84,'Weekly plan'!$A:$A,0))</f>
        <v>Month -2 · Proof building</v>
      </c>
      <c r="D84" s="15" t="s">
        <v>22</v>
      </c>
      <c r="E84" s="15" t="s">
        <v>236</v>
      </c>
      <c r="F84" s="22"/>
      <c r="G84" s="23"/>
    </row>
    <row r="85" spans="1:7" x14ac:dyDescent="0.3">
      <c r="A85" s="15">
        <v>19</v>
      </c>
      <c r="B85" s="16">
        <f>INDEX('Weekly plan'!$C:$C,MATCH(A85,'Weekly plan'!$A:$A,0))</f>
        <v>46433</v>
      </c>
      <c r="C85" s="15" t="str">
        <f>INDEX('Weekly plan'!$D:$D,MATCH(A85,'Weekly plan'!$A:$A,0))</f>
        <v>Month -2 · Proof building</v>
      </c>
      <c r="D85" s="15" t="s">
        <v>42</v>
      </c>
      <c r="E85" s="15" t="s">
        <v>262</v>
      </c>
      <c r="F85" s="22"/>
      <c r="G85" s="23"/>
    </row>
    <row r="86" spans="1:7" x14ac:dyDescent="0.3">
      <c r="A86" s="15">
        <v>19</v>
      </c>
      <c r="B86" s="16">
        <f>INDEX('Weekly plan'!$C:$C,MATCH(A86,'Weekly plan'!$A:$A,0))</f>
        <v>46433</v>
      </c>
      <c r="C86" s="15" t="str">
        <f>INDEX('Weekly plan'!$D:$D,MATCH(A86,'Weekly plan'!$A:$A,0))</f>
        <v>Month -2 · Proof building</v>
      </c>
      <c r="D86" s="15" t="s">
        <v>44</v>
      </c>
      <c r="E86" s="15" t="s">
        <v>290</v>
      </c>
      <c r="F86" s="22"/>
      <c r="G86" s="23"/>
    </row>
    <row r="87" spans="1:7" x14ac:dyDescent="0.3">
      <c r="A87" s="15">
        <v>19</v>
      </c>
      <c r="B87" s="16">
        <f>INDEX('Weekly plan'!$C:$C,MATCH(A87,'Weekly plan'!$A:$A,0))</f>
        <v>46433</v>
      </c>
      <c r="C87" s="15" t="str">
        <f>INDEX('Weekly plan'!$D:$D,MATCH(A87,'Weekly plan'!$A:$A,0))</f>
        <v>Month -2 · Proof building</v>
      </c>
      <c r="D87" s="15" t="s">
        <v>45</v>
      </c>
      <c r="E87" s="15" t="s">
        <v>291</v>
      </c>
      <c r="F87" s="22"/>
      <c r="G87" s="23"/>
    </row>
    <row r="88" spans="1:7" x14ac:dyDescent="0.3">
      <c r="A88" s="15">
        <v>19</v>
      </c>
      <c r="B88" s="16">
        <f>INDEX('Weekly plan'!$C:$C,MATCH(A88,'Weekly plan'!$A:$A,0))</f>
        <v>46433</v>
      </c>
      <c r="C88" s="15" t="str">
        <f>INDEX('Weekly plan'!$D:$D,MATCH(A88,'Weekly plan'!$A:$A,0))</f>
        <v>Month -2 · Proof building</v>
      </c>
      <c r="D88" s="15" t="s">
        <v>22</v>
      </c>
      <c r="E88" s="15" t="s">
        <v>236</v>
      </c>
      <c r="F88" s="22"/>
      <c r="G88" s="23"/>
    </row>
    <row r="89" spans="1:7" x14ac:dyDescent="0.3">
      <c r="A89" s="15">
        <v>20</v>
      </c>
      <c r="B89" s="16">
        <f>INDEX('Weekly plan'!$C:$C,MATCH(A89,'Weekly plan'!$A:$A,0))</f>
        <v>46440</v>
      </c>
      <c r="C89" s="15" t="str">
        <f>INDEX('Weekly plan'!$D:$D,MATCH(A89,'Weekly plan'!$A:$A,0))</f>
        <v>Month -2 · Proof building</v>
      </c>
      <c r="D89" s="15" t="s">
        <v>42</v>
      </c>
      <c r="E89" s="15" t="s">
        <v>262</v>
      </c>
      <c r="F89" s="22"/>
      <c r="G89" s="23"/>
    </row>
    <row r="90" spans="1:7" x14ac:dyDescent="0.3">
      <c r="A90" s="15">
        <v>20</v>
      </c>
      <c r="B90" s="16">
        <f>INDEX('Weekly plan'!$C:$C,MATCH(A90,'Weekly plan'!$A:$A,0))</f>
        <v>46440</v>
      </c>
      <c r="C90" s="15" t="str">
        <f>INDEX('Weekly plan'!$D:$D,MATCH(A90,'Weekly plan'!$A:$A,0))</f>
        <v>Month -2 · Proof building</v>
      </c>
      <c r="D90" s="15" t="s">
        <v>44</v>
      </c>
      <c r="E90" s="15" t="s">
        <v>292</v>
      </c>
      <c r="F90" s="22"/>
      <c r="G90" s="23"/>
    </row>
    <row r="91" spans="1:7" x14ac:dyDescent="0.3">
      <c r="A91" s="15">
        <v>20</v>
      </c>
      <c r="B91" s="16">
        <f>INDEX('Weekly plan'!$C:$C,MATCH(A91,'Weekly plan'!$A:$A,0))</f>
        <v>46440</v>
      </c>
      <c r="C91" s="15" t="str">
        <f>INDEX('Weekly plan'!$D:$D,MATCH(A91,'Weekly plan'!$A:$A,0))</f>
        <v>Month -2 · Proof building</v>
      </c>
      <c r="D91" s="15" t="s">
        <v>45</v>
      </c>
      <c r="E91" s="15" t="s">
        <v>293</v>
      </c>
      <c r="F91" s="22"/>
      <c r="G91" s="23"/>
    </row>
    <row r="92" spans="1:7" x14ac:dyDescent="0.3">
      <c r="A92" s="15">
        <v>20</v>
      </c>
      <c r="B92" s="16">
        <f>INDEX('Weekly plan'!$C:$C,MATCH(A92,'Weekly plan'!$A:$A,0))</f>
        <v>46440</v>
      </c>
      <c r="C92" s="15" t="str">
        <f>INDEX('Weekly plan'!$D:$D,MATCH(A92,'Weekly plan'!$A:$A,0))</f>
        <v>Month -2 · Proof building</v>
      </c>
      <c r="D92" s="15" t="s">
        <v>47</v>
      </c>
      <c r="E92" s="15" t="s">
        <v>294</v>
      </c>
      <c r="F92" s="22"/>
      <c r="G92" s="23"/>
    </row>
    <row r="93" spans="1:7" x14ac:dyDescent="0.3">
      <c r="A93" s="15">
        <v>20</v>
      </c>
      <c r="B93" s="16">
        <f>INDEX('Weekly plan'!$C:$C,MATCH(A93,'Weekly plan'!$A:$A,0))</f>
        <v>46440</v>
      </c>
      <c r="C93" s="15" t="str">
        <f>INDEX('Weekly plan'!$D:$D,MATCH(A93,'Weekly plan'!$A:$A,0))</f>
        <v>Month -2 · Proof building</v>
      </c>
      <c r="D93" s="15" t="s">
        <v>22</v>
      </c>
      <c r="E93" s="15" t="s">
        <v>236</v>
      </c>
      <c r="F93" s="22"/>
      <c r="G93" s="23"/>
    </row>
    <row r="94" spans="1:7" x14ac:dyDescent="0.3">
      <c r="A94" s="15">
        <v>21</v>
      </c>
      <c r="B94" s="16">
        <f>INDEX('Weekly plan'!$C:$C,MATCH(A94,'Weekly plan'!$A:$A,0))</f>
        <v>46447</v>
      </c>
      <c r="C94" s="15" t="str">
        <f>INDEX('Weekly plan'!$D:$D,MATCH(A94,'Weekly plan'!$A:$A,0))</f>
        <v>Month -2 · Proof building</v>
      </c>
      <c r="D94" s="15" t="s">
        <v>42</v>
      </c>
      <c r="E94" s="15" t="s">
        <v>295</v>
      </c>
      <c r="F94" s="22"/>
      <c r="G94" s="23"/>
    </row>
    <row r="95" spans="1:7" x14ac:dyDescent="0.3">
      <c r="A95" s="15">
        <v>21</v>
      </c>
      <c r="B95" s="16">
        <f>INDEX('Weekly plan'!$C:$C,MATCH(A95,'Weekly plan'!$A:$A,0))</f>
        <v>46447</v>
      </c>
      <c r="C95" s="15" t="str">
        <f>INDEX('Weekly plan'!$D:$D,MATCH(A95,'Weekly plan'!$A:$A,0))</f>
        <v>Month -2 · Proof building</v>
      </c>
      <c r="D95" s="15" t="s">
        <v>43</v>
      </c>
      <c r="E95" s="15" t="s">
        <v>296</v>
      </c>
      <c r="F95" s="22"/>
      <c r="G95" s="23"/>
    </row>
    <row r="96" spans="1:7" x14ac:dyDescent="0.3">
      <c r="A96" s="15">
        <v>21</v>
      </c>
      <c r="B96" s="16">
        <f>INDEX('Weekly plan'!$C:$C,MATCH(A96,'Weekly plan'!$A:$A,0))</f>
        <v>46447</v>
      </c>
      <c r="C96" s="15" t="str">
        <f>INDEX('Weekly plan'!$D:$D,MATCH(A96,'Weekly plan'!$A:$A,0))</f>
        <v>Month -2 · Proof building</v>
      </c>
      <c r="D96" s="15" t="s">
        <v>47</v>
      </c>
      <c r="E96" s="15" t="s">
        <v>297</v>
      </c>
      <c r="F96" s="22"/>
      <c r="G96" s="23"/>
    </row>
    <row r="97" spans="1:7" x14ac:dyDescent="0.3">
      <c r="A97" s="15">
        <v>21</v>
      </c>
      <c r="B97" s="16">
        <f>INDEX('Weekly plan'!$C:$C,MATCH(A97,'Weekly plan'!$A:$A,0))</f>
        <v>46447</v>
      </c>
      <c r="C97" s="15" t="str">
        <f>INDEX('Weekly plan'!$D:$D,MATCH(A97,'Weekly plan'!$A:$A,0))</f>
        <v>Month -2 · Proof building</v>
      </c>
      <c r="D97" s="15" t="s">
        <v>22</v>
      </c>
      <c r="E97" s="15" t="s">
        <v>236</v>
      </c>
      <c r="F97" s="22"/>
      <c r="G97" s="23"/>
    </row>
    <row r="98" spans="1:7" x14ac:dyDescent="0.3">
      <c r="A98" s="15">
        <v>22</v>
      </c>
      <c r="B98" s="16">
        <f>INDEX('Weekly plan'!$C:$C,MATCH(A98,'Weekly plan'!$A:$A,0))</f>
        <v>46454</v>
      </c>
      <c r="C98" s="15" t="str">
        <f>INDEX('Weekly plan'!$D:$D,MATCH(A98,'Weekly plan'!$A:$A,0))</f>
        <v>Month -2 · Proof building</v>
      </c>
      <c r="D98" s="15" t="s">
        <v>42</v>
      </c>
      <c r="E98" s="15" t="s">
        <v>262</v>
      </c>
      <c r="F98" s="22"/>
      <c r="G98" s="23"/>
    </row>
    <row r="99" spans="1:7" x14ac:dyDescent="0.3">
      <c r="A99" s="15">
        <v>22</v>
      </c>
      <c r="B99" s="16">
        <f>INDEX('Weekly plan'!$C:$C,MATCH(A99,'Weekly plan'!$A:$A,0))</f>
        <v>46454</v>
      </c>
      <c r="C99" s="15" t="str">
        <f>INDEX('Weekly plan'!$D:$D,MATCH(A99,'Weekly plan'!$A:$A,0))</f>
        <v>Month -2 · Proof building</v>
      </c>
      <c r="D99" s="15" t="s">
        <v>298</v>
      </c>
      <c r="E99" s="15" t="s">
        <v>299</v>
      </c>
      <c r="F99" s="22"/>
      <c r="G99" s="23"/>
    </row>
    <row r="100" spans="1:7" x14ac:dyDescent="0.3">
      <c r="A100" s="15">
        <v>22</v>
      </c>
      <c r="B100" s="16">
        <f>INDEX('Weekly plan'!$C:$C,MATCH(A100,'Weekly plan'!$A:$A,0))</f>
        <v>46454</v>
      </c>
      <c r="C100" s="15" t="str">
        <f>INDEX('Weekly plan'!$D:$D,MATCH(A100,'Weekly plan'!$A:$A,0))</f>
        <v>Month -2 · Proof building</v>
      </c>
      <c r="D100" s="15" t="s">
        <v>246</v>
      </c>
      <c r="E100" s="15" t="s">
        <v>259</v>
      </c>
      <c r="F100" s="22"/>
      <c r="G100" s="23"/>
    </row>
    <row r="101" spans="1:7" x14ac:dyDescent="0.3">
      <c r="A101" s="15">
        <v>22</v>
      </c>
      <c r="B101" s="16">
        <f>INDEX('Weekly plan'!$C:$C,MATCH(A101,'Weekly plan'!$A:$A,0))</f>
        <v>46454</v>
      </c>
      <c r="C101" s="15" t="str">
        <f>INDEX('Weekly plan'!$D:$D,MATCH(A101,'Weekly plan'!$A:$A,0))</f>
        <v>Month -2 · Proof building</v>
      </c>
      <c r="D101" s="15" t="s">
        <v>22</v>
      </c>
      <c r="E101" s="15" t="s">
        <v>236</v>
      </c>
      <c r="F101" s="22"/>
      <c r="G101" s="23"/>
    </row>
    <row r="102" spans="1:7" x14ac:dyDescent="0.3">
      <c r="A102" s="15">
        <v>23</v>
      </c>
      <c r="B102" s="16">
        <f>INDEX('Weekly plan'!$C:$C,MATCH(A102,'Weekly plan'!$A:$A,0))</f>
        <v>46461</v>
      </c>
      <c r="C102" s="15" t="str">
        <f>INDEX('Weekly plan'!$D:$D,MATCH(A102,'Weekly plan'!$A:$A,0))</f>
        <v>Month -1 · Countdown</v>
      </c>
      <c r="D102" s="15" t="s">
        <v>42</v>
      </c>
      <c r="E102" s="15" t="s">
        <v>262</v>
      </c>
      <c r="F102" s="22"/>
      <c r="G102" s="23"/>
    </row>
    <row r="103" spans="1:7" x14ac:dyDescent="0.3">
      <c r="A103" s="15">
        <v>23</v>
      </c>
      <c r="B103" s="16">
        <f>INDEX('Weekly plan'!$C:$C,MATCH(A103,'Weekly plan'!$A:$A,0))</f>
        <v>46461</v>
      </c>
      <c r="C103" s="15" t="str">
        <f>INDEX('Weekly plan'!$D:$D,MATCH(A103,'Weekly plan'!$A:$A,0))</f>
        <v>Month -1 · Countdown</v>
      </c>
      <c r="D103" s="15" t="s">
        <v>43</v>
      </c>
      <c r="E103" s="15" t="s">
        <v>300</v>
      </c>
      <c r="F103" s="22"/>
      <c r="G103" s="23"/>
    </row>
    <row r="104" spans="1:7" x14ac:dyDescent="0.3">
      <c r="A104" s="15">
        <v>23</v>
      </c>
      <c r="B104" s="16">
        <f>INDEX('Weekly plan'!$C:$C,MATCH(A104,'Weekly plan'!$A:$A,0))</f>
        <v>46461</v>
      </c>
      <c r="C104" s="15" t="str">
        <f>INDEX('Weekly plan'!$D:$D,MATCH(A104,'Weekly plan'!$A:$A,0))</f>
        <v>Month -1 · Countdown</v>
      </c>
      <c r="D104" s="15" t="s">
        <v>46</v>
      </c>
      <c r="E104" s="15" t="s">
        <v>301</v>
      </c>
      <c r="F104" s="22"/>
      <c r="G104" s="23"/>
    </row>
    <row r="105" spans="1:7" x14ac:dyDescent="0.3">
      <c r="A105" s="15">
        <v>23</v>
      </c>
      <c r="B105" s="16">
        <f>INDEX('Weekly plan'!$C:$C,MATCH(A105,'Weekly plan'!$A:$A,0))</f>
        <v>46461</v>
      </c>
      <c r="C105" s="15" t="str">
        <f>INDEX('Weekly plan'!$D:$D,MATCH(A105,'Weekly plan'!$A:$A,0))</f>
        <v>Month -1 · Countdown</v>
      </c>
      <c r="D105" s="15" t="s">
        <v>47</v>
      </c>
      <c r="E105" s="15" t="s">
        <v>302</v>
      </c>
      <c r="F105" s="22"/>
      <c r="G105" s="23"/>
    </row>
    <row r="106" spans="1:7" x14ac:dyDescent="0.3">
      <c r="A106" s="15">
        <v>23</v>
      </c>
      <c r="B106" s="16">
        <f>INDEX('Weekly plan'!$C:$C,MATCH(A106,'Weekly plan'!$A:$A,0))</f>
        <v>46461</v>
      </c>
      <c r="C106" s="15" t="str">
        <f>INDEX('Weekly plan'!$D:$D,MATCH(A106,'Weekly plan'!$A:$A,0))</f>
        <v>Month -1 · Countdown</v>
      </c>
      <c r="D106" s="15" t="s">
        <v>250</v>
      </c>
      <c r="E106" s="15" t="s">
        <v>303</v>
      </c>
      <c r="F106" s="22"/>
      <c r="G106" s="23"/>
    </row>
    <row r="107" spans="1:7" x14ac:dyDescent="0.3">
      <c r="A107" s="15">
        <v>23</v>
      </c>
      <c r="B107" s="16">
        <f>INDEX('Weekly plan'!$C:$C,MATCH(A107,'Weekly plan'!$A:$A,0))</f>
        <v>46461</v>
      </c>
      <c r="C107" s="15" t="str">
        <f>INDEX('Weekly plan'!$D:$D,MATCH(A107,'Weekly plan'!$A:$A,0))</f>
        <v>Month -1 · Countdown</v>
      </c>
      <c r="D107" s="15" t="s">
        <v>304</v>
      </c>
      <c r="E107" s="15" t="s">
        <v>305</v>
      </c>
      <c r="F107" s="22"/>
      <c r="G107" s="23"/>
    </row>
    <row r="108" spans="1:7" x14ac:dyDescent="0.3">
      <c r="A108" s="15">
        <v>23</v>
      </c>
      <c r="B108" s="16">
        <f>INDEX('Weekly plan'!$C:$C,MATCH(A108,'Weekly plan'!$A:$A,0))</f>
        <v>46461</v>
      </c>
      <c r="C108" s="15" t="str">
        <f>INDEX('Weekly plan'!$D:$D,MATCH(A108,'Weekly plan'!$A:$A,0))</f>
        <v>Month -1 · Countdown</v>
      </c>
      <c r="D108" s="15" t="s">
        <v>22</v>
      </c>
      <c r="E108" s="15" t="s">
        <v>236</v>
      </c>
      <c r="F108" s="22"/>
      <c r="G108" s="23"/>
    </row>
    <row r="109" spans="1:7" x14ac:dyDescent="0.3">
      <c r="A109" s="15">
        <v>24</v>
      </c>
      <c r="B109" s="16">
        <f>INDEX('Weekly plan'!$C:$C,MATCH(A109,'Weekly plan'!$A:$A,0))</f>
        <v>46468</v>
      </c>
      <c r="C109" s="15" t="str">
        <f>INDEX('Weekly plan'!$D:$D,MATCH(A109,'Weekly plan'!$A:$A,0))</f>
        <v>Month -1 · Countdown</v>
      </c>
      <c r="D109" s="15" t="s">
        <v>42</v>
      </c>
      <c r="E109" s="15" t="s">
        <v>306</v>
      </c>
      <c r="F109" s="22"/>
      <c r="G109" s="23"/>
    </row>
    <row r="110" spans="1:7" x14ac:dyDescent="0.3">
      <c r="A110" s="15">
        <v>24</v>
      </c>
      <c r="B110" s="16">
        <f>INDEX('Weekly plan'!$C:$C,MATCH(A110,'Weekly plan'!$A:$A,0))</f>
        <v>46468</v>
      </c>
      <c r="C110" s="15" t="str">
        <f>INDEX('Weekly plan'!$D:$D,MATCH(A110,'Weekly plan'!$A:$A,0))</f>
        <v>Month -1 · Countdown</v>
      </c>
      <c r="D110" s="15" t="s">
        <v>43</v>
      </c>
      <c r="E110" s="15" t="s">
        <v>307</v>
      </c>
      <c r="F110" s="22"/>
      <c r="G110" s="23"/>
    </row>
    <row r="111" spans="1:7" x14ac:dyDescent="0.3">
      <c r="A111" s="15">
        <v>24</v>
      </c>
      <c r="B111" s="16">
        <f>INDEX('Weekly plan'!$C:$C,MATCH(A111,'Weekly plan'!$A:$A,0))</f>
        <v>46468</v>
      </c>
      <c r="C111" s="15" t="str">
        <f>INDEX('Weekly plan'!$D:$D,MATCH(A111,'Weekly plan'!$A:$A,0))</f>
        <v>Month -1 · Countdown</v>
      </c>
      <c r="D111" s="15" t="s">
        <v>44</v>
      </c>
      <c r="E111" s="15" t="s">
        <v>308</v>
      </c>
      <c r="F111" s="22"/>
      <c r="G111" s="23"/>
    </row>
    <row r="112" spans="1:7" x14ac:dyDescent="0.3">
      <c r="A112" s="15">
        <v>24</v>
      </c>
      <c r="B112" s="16">
        <f>INDEX('Weekly plan'!$C:$C,MATCH(A112,'Weekly plan'!$A:$A,0))</f>
        <v>46468</v>
      </c>
      <c r="C112" s="15" t="str">
        <f>INDEX('Weekly plan'!$D:$D,MATCH(A112,'Weekly plan'!$A:$A,0))</f>
        <v>Month -1 · Countdown</v>
      </c>
      <c r="D112" s="15" t="s">
        <v>22</v>
      </c>
      <c r="E112" s="15" t="s">
        <v>236</v>
      </c>
      <c r="F112" s="22"/>
      <c r="G112" s="23"/>
    </row>
    <row r="113" spans="1:7" x14ac:dyDescent="0.3">
      <c r="A113" s="15">
        <v>25</v>
      </c>
      <c r="B113" s="16">
        <f>INDEX('Weekly plan'!$C:$C,MATCH(A113,'Weekly plan'!$A:$A,0))</f>
        <v>46475</v>
      </c>
      <c r="C113" s="15" t="str">
        <f>INDEX('Weekly plan'!$D:$D,MATCH(A113,'Weekly plan'!$A:$A,0))</f>
        <v>Month -1 · Countdown</v>
      </c>
      <c r="D113" s="15" t="s">
        <v>42</v>
      </c>
      <c r="E113" s="15" t="s">
        <v>262</v>
      </c>
      <c r="F113" s="22"/>
      <c r="G113" s="23"/>
    </row>
    <row r="114" spans="1:7" x14ac:dyDescent="0.3">
      <c r="A114" s="15">
        <v>25</v>
      </c>
      <c r="B114" s="16">
        <f>INDEX('Weekly plan'!$C:$C,MATCH(A114,'Weekly plan'!$A:$A,0))</f>
        <v>46475</v>
      </c>
      <c r="C114" s="15" t="str">
        <f>INDEX('Weekly plan'!$D:$D,MATCH(A114,'Weekly plan'!$A:$A,0))</f>
        <v>Month -1 · Countdown</v>
      </c>
      <c r="D114" s="15" t="s">
        <v>43</v>
      </c>
      <c r="E114" s="15" t="s">
        <v>309</v>
      </c>
      <c r="F114" s="22"/>
      <c r="G114" s="23"/>
    </row>
    <row r="115" spans="1:7" x14ac:dyDescent="0.3">
      <c r="A115" s="15">
        <v>25</v>
      </c>
      <c r="B115" s="16">
        <f>INDEX('Weekly plan'!$C:$C,MATCH(A115,'Weekly plan'!$A:$A,0))</f>
        <v>46475</v>
      </c>
      <c r="C115" s="15" t="str">
        <f>INDEX('Weekly plan'!$D:$D,MATCH(A115,'Weekly plan'!$A:$A,0))</f>
        <v>Month -1 · Countdown</v>
      </c>
      <c r="D115" s="15" t="s">
        <v>310</v>
      </c>
      <c r="E115" s="15" t="s">
        <v>311</v>
      </c>
      <c r="F115" s="22"/>
      <c r="G115" s="23"/>
    </row>
    <row r="116" spans="1:7" x14ac:dyDescent="0.3">
      <c r="A116" s="15">
        <v>25</v>
      </c>
      <c r="B116" s="16">
        <f>INDEX('Weekly plan'!$C:$C,MATCH(A116,'Weekly plan'!$A:$A,0))</f>
        <v>46475</v>
      </c>
      <c r="C116" s="15" t="str">
        <f>INDEX('Weekly plan'!$D:$D,MATCH(A116,'Weekly plan'!$A:$A,0))</f>
        <v>Month -1 · Countdown</v>
      </c>
      <c r="D116" s="15" t="s">
        <v>312</v>
      </c>
      <c r="E116" s="15" t="s">
        <v>313</v>
      </c>
      <c r="F116" s="22"/>
      <c r="G116" s="23"/>
    </row>
    <row r="117" spans="1:7" x14ac:dyDescent="0.3">
      <c r="A117" s="15">
        <v>25</v>
      </c>
      <c r="B117" s="16">
        <f>INDEX('Weekly plan'!$C:$C,MATCH(A117,'Weekly plan'!$A:$A,0))</f>
        <v>46475</v>
      </c>
      <c r="C117" s="15" t="str">
        <f>INDEX('Weekly plan'!$D:$D,MATCH(A117,'Weekly plan'!$A:$A,0))</f>
        <v>Month -1 · Countdown</v>
      </c>
      <c r="D117" s="15" t="s">
        <v>22</v>
      </c>
      <c r="E117" s="15" t="s">
        <v>236</v>
      </c>
      <c r="F117" s="22"/>
      <c r="G117" s="23"/>
    </row>
    <row r="118" spans="1:7" x14ac:dyDescent="0.3">
      <c r="A118" s="15">
        <v>26</v>
      </c>
      <c r="B118" s="16">
        <f>INDEX('Weekly plan'!$C:$C,MATCH(A118,'Weekly plan'!$A:$A,0))</f>
        <v>46482</v>
      </c>
      <c r="C118" s="15" t="str">
        <f>INDEX('Weekly plan'!$D:$D,MATCH(A118,'Weekly plan'!$A:$A,0))</f>
        <v>Month -1 · Countdown</v>
      </c>
      <c r="D118" s="15" t="s">
        <v>42</v>
      </c>
      <c r="E118" s="15" t="s">
        <v>262</v>
      </c>
      <c r="F118" s="22"/>
      <c r="G118" s="23"/>
    </row>
    <row r="119" spans="1:7" x14ac:dyDescent="0.3">
      <c r="A119" s="15">
        <v>26</v>
      </c>
      <c r="B119" s="16">
        <f>INDEX('Weekly plan'!$C:$C,MATCH(A119,'Weekly plan'!$A:$A,0))</f>
        <v>46482</v>
      </c>
      <c r="C119" s="15" t="str">
        <f>INDEX('Weekly plan'!$D:$D,MATCH(A119,'Weekly plan'!$A:$A,0))</f>
        <v>Month -1 · Countdown</v>
      </c>
      <c r="D119" s="15" t="s">
        <v>43</v>
      </c>
      <c r="E119" s="15" t="s">
        <v>314</v>
      </c>
      <c r="F119" s="22"/>
      <c r="G119" s="23"/>
    </row>
    <row r="120" spans="1:7" x14ac:dyDescent="0.3">
      <c r="A120" s="15">
        <v>26</v>
      </c>
      <c r="B120" s="16">
        <f>INDEX('Weekly plan'!$C:$C,MATCH(A120,'Weekly plan'!$A:$A,0))</f>
        <v>46482</v>
      </c>
      <c r="C120" s="15" t="str">
        <f>INDEX('Weekly plan'!$D:$D,MATCH(A120,'Weekly plan'!$A:$A,0))</f>
        <v>Month -1 · Countdown</v>
      </c>
      <c r="D120" s="15" t="s">
        <v>46</v>
      </c>
      <c r="E120" s="15" t="s">
        <v>315</v>
      </c>
      <c r="F120" s="22"/>
      <c r="G120" s="23"/>
    </row>
    <row r="121" spans="1:7" x14ac:dyDescent="0.3">
      <c r="A121" s="15">
        <v>26</v>
      </c>
      <c r="B121" s="16">
        <f>INDEX('Weekly plan'!$C:$C,MATCH(A121,'Weekly plan'!$A:$A,0))</f>
        <v>46482</v>
      </c>
      <c r="C121" s="15" t="str">
        <f>INDEX('Weekly plan'!$D:$D,MATCH(A121,'Weekly plan'!$A:$A,0))</f>
        <v>Month -1 · Countdown</v>
      </c>
      <c r="D121" s="15" t="s">
        <v>47</v>
      </c>
      <c r="E121" s="15" t="s">
        <v>316</v>
      </c>
      <c r="F121" s="22"/>
      <c r="G121" s="23"/>
    </row>
    <row r="122" spans="1:7" x14ac:dyDescent="0.3">
      <c r="A122" s="15">
        <v>26</v>
      </c>
      <c r="B122" s="16">
        <f>INDEX('Weekly plan'!$C:$C,MATCH(A122,'Weekly plan'!$A:$A,0))</f>
        <v>46482</v>
      </c>
      <c r="C122" s="15" t="str">
        <f>INDEX('Weekly plan'!$D:$D,MATCH(A122,'Weekly plan'!$A:$A,0))</f>
        <v>Month -1 · Countdown</v>
      </c>
      <c r="D122" s="15" t="s">
        <v>22</v>
      </c>
      <c r="E122" s="15" t="s">
        <v>236</v>
      </c>
      <c r="F122" s="22"/>
      <c r="G122" s="23"/>
    </row>
    <row r="123" spans="1:7" ht="26.4" x14ac:dyDescent="0.3">
      <c r="A123" s="15">
        <v>27</v>
      </c>
      <c r="B123" s="16">
        <f>INDEX('Weekly plan'!$C:$C,MATCH(A123,'Weekly plan'!$A:$A,0))</f>
        <v>46489</v>
      </c>
      <c r="C123" s="15" t="str">
        <f>INDEX('Weekly plan'!$D:$D,MATCH(A123,'Weekly plan'!$A:$A,0))</f>
        <v>Launch month</v>
      </c>
      <c r="D123" s="15" t="s">
        <v>42</v>
      </c>
      <c r="E123" s="15" t="s">
        <v>317</v>
      </c>
      <c r="F123" s="22"/>
      <c r="G123" s="23"/>
    </row>
    <row r="124" spans="1:7" x14ac:dyDescent="0.3">
      <c r="A124" s="15">
        <v>27</v>
      </c>
      <c r="B124" s="16">
        <f>INDEX('Weekly plan'!$C:$C,MATCH(A124,'Weekly plan'!$A:$A,0))</f>
        <v>46489</v>
      </c>
      <c r="C124" s="15" t="str">
        <f>INDEX('Weekly plan'!$D:$D,MATCH(A124,'Weekly plan'!$A:$A,0))</f>
        <v>Launch month</v>
      </c>
      <c r="D124" s="15" t="s">
        <v>43</v>
      </c>
      <c r="E124" s="15" t="s">
        <v>318</v>
      </c>
      <c r="F124" s="22"/>
      <c r="G124" s="23"/>
    </row>
    <row r="125" spans="1:7" x14ac:dyDescent="0.3">
      <c r="A125" s="15">
        <v>27</v>
      </c>
      <c r="B125" s="16">
        <f>INDEX('Weekly plan'!$C:$C,MATCH(A125,'Weekly plan'!$A:$A,0))</f>
        <v>46489</v>
      </c>
      <c r="C125" s="15" t="str">
        <f>INDEX('Weekly plan'!$D:$D,MATCH(A125,'Weekly plan'!$A:$A,0))</f>
        <v>Launch month</v>
      </c>
      <c r="D125" s="15" t="s">
        <v>46</v>
      </c>
      <c r="E125" s="15" t="s">
        <v>319</v>
      </c>
      <c r="F125" s="22"/>
      <c r="G125" s="23"/>
    </row>
    <row r="126" spans="1:7" x14ac:dyDescent="0.3">
      <c r="A126" s="15">
        <v>27</v>
      </c>
      <c r="B126" s="16">
        <f>INDEX('Weekly plan'!$C:$C,MATCH(A126,'Weekly plan'!$A:$A,0))</f>
        <v>46489</v>
      </c>
      <c r="C126" s="15" t="str">
        <f>INDEX('Weekly plan'!$D:$D,MATCH(A126,'Weekly plan'!$A:$A,0))</f>
        <v>Launch month</v>
      </c>
      <c r="D126" s="15" t="s">
        <v>47</v>
      </c>
      <c r="E126" s="15" t="s">
        <v>320</v>
      </c>
      <c r="F126" s="22"/>
      <c r="G126" s="23"/>
    </row>
    <row r="127" spans="1:7" x14ac:dyDescent="0.3">
      <c r="A127" s="15">
        <v>27</v>
      </c>
      <c r="B127" s="16">
        <f>INDEX('Weekly plan'!$C:$C,MATCH(A127,'Weekly plan'!$A:$A,0))</f>
        <v>46489</v>
      </c>
      <c r="C127" s="15" t="str">
        <f>INDEX('Weekly plan'!$D:$D,MATCH(A127,'Weekly plan'!$A:$A,0))</f>
        <v>Launch month</v>
      </c>
      <c r="D127" s="15" t="s">
        <v>250</v>
      </c>
      <c r="E127" s="15" t="s">
        <v>321</v>
      </c>
      <c r="F127" s="22"/>
      <c r="G127" s="23"/>
    </row>
    <row r="128" spans="1:7" x14ac:dyDescent="0.3">
      <c r="A128" s="15">
        <v>27</v>
      </c>
      <c r="B128" s="16">
        <f>INDEX('Weekly plan'!$C:$C,MATCH(A128,'Weekly plan'!$A:$A,0))</f>
        <v>46489</v>
      </c>
      <c r="C128" s="15" t="str">
        <f>INDEX('Weekly plan'!$D:$D,MATCH(A128,'Weekly plan'!$A:$A,0))</f>
        <v>Launch month</v>
      </c>
      <c r="D128" s="15" t="s">
        <v>312</v>
      </c>
      <c r="E128" s="15" t="s">
        <v>322</v>
      </c>
      <c r="F128" s="22"/>
      <c r="G128" s="23"/>
    </row>
    <row r="129" spans="1:7" x14ac:dyDescent="0.3">
      <c r="A129" s="15">
        <v>27</v>
      </c>
      <c r="B129" s="16">
        <f>INDEX('Weekly plan'!$C:$C,MATCH(A129,'Weekly plan'!$A:$A,0))</f>
        <v>46489</v>
      </c>
      <c r="C129" s="15" t="str">
        <f>INDEX('Weekly plan'!$D:$D,MATCH(A129,'Weekly plan'!$A:$A,0))</f>
        <v>Launch month</v>
      </c>
      <c r="D129" s="15" t="s">
        <v>22</v>
      </c>
      <c r="E129" s="15" t="s">
        <v>236</v>
      </c>
      <c r="F129" s="22"/>
      <c r="G129" s="23"/>
    </row>
    <row r="130" spans="1:7" x14ac:dyDescent="0.3">
      <c r="A130" s="15">
        <v>28</v>
      </c>
      <c r="B130" s="16">
        <f>INDEX('Weekly plan'!$C:$C,MATCH(A130,'Weekly plan'!$A:$A,0))</f>
        <v>46496</v>
      </c>
      <c r="C130" s="15" t="str">
        <f>INDEX('Weekly plan'!$D:$D,MATCH(A130,'Weekly plan'!$A:$A,0))</f>
        <v>Launch month</v>
      </c>
      <c r="D130" s="15" t="s">
        <v>42</v>
      </c>
      <c r="E130" s="15" t="s">
        <v>265</v>
      </c>
      <c r="F130" s="22"/>
      <c r="G130" s="23"/>
    </row>
    <row r="131" spans="1:7" x14ac:dyDescent="0.3">
      <c r="A131" s="15">
        <v>28</v>
      </c>
      <c r="B131" s="16">
        <f>INDEX('Weekly plan'!$C:$C,MATCH(A131,'Weekly plan'!$A:$A,0))</f>
        <v>46496</v>
      </c>
      <c r="C131" s="15" t="str">
        <f>INDEX('Weekly plan'!$D:$D,MATCH(A131,'Weekly plan'!$A:$A,0))</f>
        <v>Launch month</v>
      </c>
      <c r="D131" s="15" t="s">
        <v>43</v>
      </c>
      <c r="E131" s="15" t="s">
        <v>323</v>
      </c>
      <c r="F131" s="22"/>
      <c r="G131" s="23"/>
    </row>
    <row r="132" spans="1:7" x14ac:dyDescent="0.3">
      <c r="A132" s="15">
        <v>28</v>
      </c>
      <c r="B132" s="16">
        <f>INDEX('Weekly plan'!$C:$C,MATCH(A132,'Weekly plan'!$A:$A,0))</f>
        <v>46496</v>
      </c>
      <c r="C132" s="15" t="str">
        <f>INDEX('Weekly plan'!$D:$D,MATCH(A132,'Weekly plan'!$A:$A,0))</f>
        <v>Launch month</v>
      </c>
      <c r="D132" s="15" t="s">
        <v>44</v>
      </c>
      <c r="E132" s="15" t="s">
        <v>324</v>
      </c>
      <c r="F132" s="22"/>
      <c r="G132" s="23"/>
    </row>
    <row r="133" spans="1:7" x14ac:dyDescent="0.3">
      <c r="A133" s="15">
        <v>28</v>
      </c>
      <c r="B133" s="16">
        <f>INDEX('Weekly plan'!$C:$C,MATCH(A133,'Weekly plan'!$A:$A,0))</f>
        <v>46496</v>
      </c>
      <c r="C133" s="15" t="str">
        <f>INDEX('Weekly plan'!$D:$D,MATCH(A133,'Weekly plan'!$A:$A,0))</f>
        <v>Launch month</v>
      </c>
      <c r="D133" s="15" t="s">
        <v>325</v>
      </c>
      <c r="E133" s="15" t="s">
        <v>326</v>
      </c>
      <c r="F133" s="22"/>
      <c r="G133" s="23"/>
    </row>
    <row r="134" spans="1:7" x14ac:dyDescent="0.3">
      <c r="A134" s="15">
        <v>28</v>
      </c>
      <c r="B134" s="16">
        <f>INDEX('Weekly plan'!$C:$C,MATCH(A134,'Weekly plan'!$A:$A,0))</f>
        <v>46496</v>
      </c>
      <c r="C134" s="15" t="str">
        <f>INDEX('Weekly plan'!$D:$D,MATCH(A134,'Weekly plan'!$A:$A,0))</f>
        <v>Launch month</v>
      </c>
      <c r="D134" s="15" t="s">
        <v>22</v>
      </c>
      <c r="E134" s="15" t="s">
        <v>236</v>
      </c>
      <c r="F134" s="22"/>
      <c r="G134" s="23"/>
    </row>
    <row r="135" spans="1:7" x14ac:dyDescent="0.3">
      <c r="A135" s="15">
        <v>29</v>
      </c>
      <c r="B135" s="16">
        <f>INDEX('Weekly plan'!$C:$C,MATCH(A135,'Weekly plan'!$A:$A,0))</f>
        <v>46503</v>
      </c>
      <c r="C135" s="15" t="str">
        <f>INDEX('Weekly plan'!$D:$D,MATCH(A135,'Weekly plan'!$A:$A,0))</f>
        <v>Launch month</v>
      </c>
      <c r="D135" s="15" t="s">
        <v>42</v>
      </c>
      <c r="E135" s="15" t="s">
        <v>327</v>
      </c>
      <c r="F135" s="22"/>
      <c r="G135" s="23"/>
    </row>
    <row r="136" spans="1:7" x14ac:dyDescent="0.3">
      <c r="A136" s="15">
        <v>29</v>
      </c>
      <c r="B136" s="16">
        <f>INDEX('Weekly plan'!$C:$C,MATCH(A136,'Weekly plan'!$A:$A,0))</f>
        <v>46503</v>
      </c>
      <c r="C136" s="15" t="str">
        <f>INDEX('Weekly plan'!$D:$D,MATCH(A136,'Weekly plan'!$A:$A,0))</f>
        <v>Launch month</v>
      </c>
      <c r="D136" s="15" t="s">
        <v>43</v>
      </c>
      <c r="E136" s="15" t="s">
        <v>328</v>
      </c>
      <c r="F136" s="22"/>
      <c r="G136" s="23"/>
    </row>
    <row r="137" spans="1:7" x14ac:dyDescent="0.3">
      <c r="A137" s="15">
        <v>29</v>
      </c>
      <c r="B137" s="16">
        <f>INDEX('Weekly plan'!$C:$C,MATCH(A137,'Weekly plan'!$A:$A,0))</f>
        <v>46503</v>
      </c>
      <c r="C137" s="15" t="str">
        <f>INDEX('Weekly plan'!$D:$D,MATCH(A137,'Weekly plan'!$A:$A,0))</f>
        <v>Launch month</v>
      </c>
      <c r="D137" s="15" t="s">
        <v>22</v>
      </c>
      <c r="E137" s="15" t="s">
        <v>236</v>
      </c>
      <c r="F137" s="22"/>
      <c r="G137" s="23"/>
    </row>
    <row r="138" spans="1:7" x14ac:dyDescent="0.3">
      <c r="A138" s="15">
        <v>30</v>
      </c>
      <c r="B138" s="16">
        <f>INDEX('Weekly plan'!$C:$C,MATCH(A138,'Weekly plan'!$A:$A,0))</f>
        <v>46510</v>
      </c>
      <c r="C138" s="15" t="str">
        <f>INDEX('Weekly plan'!$D:$D,MATCH(A138,'Weekly plan'!$A:$A,0))</f>
        <v>Launch month</v>
      </c>
      <c r="D138" s="15" t="s">
        <v>43</v>
      </c>
      <c r="E138" s="15" t="s">
        <v>329</v>
      </c>
      <c r="F138" s="22"/>
      <c r="G138" s="23"/>
    </row>
    <row r="139" spans="1:7" x14ac:dyDescent="0.3">
      <c r="A139" s="15">
        <v>30</v>
      </c>
      <c r="B139" s="16">
        <f>INDEX('Weekly plan'!$C:$C,MATCH(A139,'Weekly plan'!$A:$A,0))</f>
        <v>46510</v>
      </c>
      <c r="C139" s="15" t="str">
        <f>INDEX('Weekly plan'!$D:$D,MATCH(A139,'Weekly plan'!$A:$A,0))</f>
        <v>Launch month</v>
      </c>
      <c r="D139" s="15" t="s">
        <v>246</v>
      </c>
      <c r="E139" s="15" t="s">
        <v>330</v>
      </c>
      <c r="F139" s="22"/>
      <c r="G139" s="23"/>
    </row>
    <row r="140" spans="1:7" x14ac:dyDescent="0.3">
      <c r="A140" s="15">
        <v>30</v>
      </c>
      <c r="B140" s="16">
        <f>INDEX('Weekly plan'!$C:$C,MATCH(A140,'Weekly plan'!$A:$A,0))</f>
        <v>46510</v>
      </c>
      <c r="C140" s="15" t="str">
        <f>INDEX('Weekly plan'!$D:$D,MATCH(A140,'Weekly plan'!$A:$A,0))</f>
        <v>Launch month</v>
      </c>
      <c r="D140" s="15" t="s">
        <v>22</v>
      </c>
      <c r="E140" s="15" t="s">
        <v>236</v>
      </c>
      <c r="F140" s="22"/>
      <c r="G140" s="23"/>
    </row>
    <row r="141" spans="1:7" x14ac:dyDescent="0.3">
      <c r="A141" s="15">
        <v>31</v>
      </c>
      <c r="B141" s="16">
        <f>INDEX('Weekly plan'!$C:$C,MATCH(A141,'Weekly plan'!$A:$A,0))</f>
        <v>46517</v>
      </c>
      <c r="C141" s="15" t="str">
        <f>INDEX('Weekly plan'!$D:$D,MATCH(A141,'Weekly plan'!$A:$A,0))</f>
        <v>Phase 1 · Romania growth</v>
      </c>
      <c r="D141" s="15" t="s">
        <v>42</v>
      </c>
      <c r="E141" s="15" t="s">
        <v>331</v>
      </c>
      <c r="F141" s="22"/>
      <c r="G141" s="23"/>
    </row>
    <row r="142" spans="1:7" x14ac:dyDescent="0.3">
      <c r="A142" s="15">
        <v>31</v>
      </c>
      <c r="B142" s="16">
        <f>INDEX('Weekly plan'!$C:$C,MATCH(A142,'Weekly plan'!$A:$A,0))</f>
        <v>46517</v>
      </c>
      <c r="C142" s="15" t="str">
        <f>INDEX('Weekly plan'!$D:$D,MATCH(A142,'Weekly plan'!$A:$A,0))</f>
        <v>Phase 1 · Romania growth</v>
      </c>
      <c r="D142" s="15" t="s">
        <v>43</v>
      </c>
      <c r="E142" s="15" t="s">
        <v>332</v>
      </c>
      <c r="F142" s="22"/>
      <c r="G142" s="23"/>
    </row>
    <row r="143" spans="1:7" x14ac:dyDescent="0.3">
      <c r="A143" s="15">
        <v>31</v>
      </c>
      <c r="B143" s="16">
        <f>INDEX('Weekly plan'!$C:$C,MATCH(A143,'Weekly plan'!$A:$A,0))</f>
        <v>46517</v>
      </c>
      <c r="C143" s="15" t="str">
        <f>INDEX('Weekly plan'!$D:$D,MATCH(A143,'Weekly plan'!$A:$A,0))</f>
        <v>Phase 1 · Romania growth</v>
      </c>
      <c r="D143" s="15" t="s">
        <v>44</v>
      </c>
      <c r="E143" s="15" t="s">
        <v>333</v>
      </c>
      <c r="F143" s="22"/>
      <c r="G143" s="23"/>
    </row>
    <row r="144" spans="1:7" x14ac:dyDescent="0.3">
      <c r="A144" s="15">
        <v>31</v>
      </c>
      <c r="B144" s="16">
        <f>INDEX('Weekly plan'!$C:$C,MATCH(A144,'Weekly plan'!$A:$A,0))</f>
        <v>46517</v>
      </c>
      <c r="C144" s="15" t="str">
        <f>INDEX('Weekly plan'!$D:$D,MATCH(A144,'Weekly plan'!$A:$A,0))</f>
        <v>Phase 1 · Romania growth</v>
      </c>
      <c r="D144" s="15" t="s">
        <v>45</v>
      </c>
      <c r="E144" s="15" t="s">
        <v>334</v>
      </c>
      <c r="F144" s="22"/>
      <c r="G144" s="23"/>
    </row>
    <row r="145" spans="1:7" x14ac:dyDescent="0.3">
      <c r="A145" s="15">
        <v>31</v>
      </c>
      <c r="B145" s="16">
        <f>INDEX('Weekly plan'!$C:$C,MATCH(A145,'Weekly plan'!$A:$A,0))</f>
        <v>46517</v>
      </c>
      <c r="C145" s="15" t="str">
        <f>INDEX('Weekly plan'!$D:$D,MATCH(A145,'Weekly plan'!$A:$A,0))</f>
        <v>Phase 1 · Romania growth</v>
      </c>
      <c r="D145" s="15" t="s">
        <v>46</v>
      </c>
      <c r="E145" s="15" t="s">
        <v>335</v>
      </c>
      <c r="F145" s="22"/>
      <c r="G145" s="23"/>
    </row>
    <row r="146" spans="1:7" x14ac:dyDescent="0.3">
      <c r="A146" s="15">
        <v>31</v>
      </c>
      <c r="B146" s="16">
        <f>INDEX('Weekly plan'!$C:$C,MATCH(A146,'Weekly plan'!$A:$A,0))</f>
        <v>46517</v>
      </c>
      <c r="C146" s="15" t="str">
        <f>INDEX('Weekly plan'!$D:$D,MATCH(A146,'Weekly plan'!$A:$A,0))</f>
        <v>Phase 1 · Romania growth</v>
      </c>
      <c r="D146" s="15" t="s">
        <v>22</v>
      </c>
      <c r="E146" s="15" t="s">
        <v>236</v>
      </c>
      <c r="F146" s="22"/>
      <c r="G146" s="23"/>
    </row>
    <row r="147" spans="1:7" x14ac:dyDescent="0.3">
      <c r="A147" s="15">
        <v>32</v>
      </c>
      <c r="B147" s="16">
        <f>INDEX('Weekly plan'!$C:$C,MATCH(A147,'Weekly plan'!$A:$A,0))</f>
        <v>46524</v>
      </c>
      <c r="C147" s="15" t="str">
        <f>INDEX('Weekly plan'!$D:$D,MATCH(A147,'Weekly plan'!$A:$A,0))</f>
        <v>Phase 1 · Romania growth</v>
      </c>
      <c r="D147" s="15" t="s">
        <v>42</v>
      </c>
      <c r="E147" s="15" t="s">
        <v>331</v>
      </c>
      <c r="F147" s="22"/>
      <c r="G147" s="23"/>
    </row>
    <row r="148" spans="1:7" x14ac:dyDescent="0.3">
      <c r="A148" s="15">
        <v>32</v>
      </c>
      <c r="B148" s="16">
        <f>INDEX('Weekly plan'!$C:$C,MATCH(A148,'Weekly plan'!$A:$A,0))</f>
        <v>46524</v>
      </c>
      <c r="C148" s="15" t="str">
        <f>INDEX('Weekly plan'!$D:$D,MATCH(A148,'Weekly plan'!$A:$A,0))</f>
        <v>Phase 1 · Romania growth</v>
      </c>
      <c r="D148" s="15" t="s">
        <v>43</v>
      </c>
      <c r="E148" s="15" t="s">
        <v>332</v>
      </c>
      <c r="F148" s="22"/>
      <c r="G148" s="23"/>
    </row>
    <row r="149" spans="1:7" x14ac:dyDescent="0.3">
      <c r="A149" s="15">
        <v>32</v>
      </c>
      <c r="B149" s="16">
        <f>INDEX('Weekly plan'!$C:$C,MATCH(A149,'Weekly plan'!$A:$A,0))</f>
        <v>46524</v>
      </c>
      <c r="C149" s="15" t="str">
        <f>INDEX('Weekly plan'!$D:$D,MATCH(A149,'Weekly plan'!$A:$A,0))</f>
        <v>Phase 1 · Romania growth</v>
      </c>
      <c r="D149" s="15" t="s">
        <v>336</v>
      </c>
      <c r="E149" s="15" t="s">
        <v>337</v>
      </c>
      <c r="F149" s="22"/>
      <c r="G149" s="23"/>
    </row>
    <row r="150" spans="1:7" x14ac:dyDescent="0.3">
      <c r="A150" s="15">
        <v>32</v>
      </c>
      <c r="B150" s="16">
        <f>INDEX('Weekly plan'!$C:$C,MATCH(A150,'Weekly plan'!$A:$A,0))</f>
        <v>46524</v>
      </c>
      <c r="C150" s="15" t="str">
        <f>INDEX('Weekly plan'!$D:$D,MATCH(A150,'Weekly plan'!$A:$A,0))</f>
        <v>Phase 1 · Romania growth</v>
      </c>
      <c r="D150" s="15" t="s">
        <v>22</v>
      </c>
      <c r="E150" s="15" t="s">
        <v>236</v>
      </c>
      <c r="F150" s="22"/>
      <c r="G150" s="23"/>
    </row>
    <row r="151" spans="1:7" x14ac:dyDescent="0.3">
      <c r="A151" s="15">
        <v>33</v>
      </c>
      <c r="B151" s="16">
        <f>INDEX('Weekly plan'!$C:$C,MATCH(A151,'Weekly plan'!$A:$A,0))</f>
        <v>46531</v>
      </c>
      <c r="C151" s="15" t="str">
        <f>INDEX('Weekly plan'!$D:$D,MATCH(A151,'Weekly plan'!$A:$A,0))</f>
        <v>Phase 1 · Romania growth</v>
      </c>
      <c r="D151" s="15" t="s">
        <v>42</v>
      </c>
      <c r="E151" s="15" t="s">
        <v>338</v>
      </c>
      <c r="F151" s="22"/>
      <c r="G151" s="23"/>
    </row>
    <row r="152" spans="1:7" x14ac:dyDescent="0.3">
      <c r="A152" s="15">
        <v>33</v>
      </c>
      <c r="B152" s="16">
        <f>INDEX('Weekly plan'!$C:$C,MATCH(A152,'Weekly plan'!$A:$A,0))</f>
        <v>46531</v>
      </c>
      <c r="C152" s="15" t="str">
        <f>INDEX('Weekly plan'!$D:$D,MATCH(A152,'Weekly plan'!$A:$A,0))</f>
        <v>Phase 1 · Romania growth</v>
      </c>
      <c r="D152" s="15" t="s">
        <v>43</v>
      </c>
      <c r="E152" s="15" t="s">
        <v>339</v>
      </c>
      <c r="F152" s="22"/>
      <c r="G152" s="23"/>
    </row>
    <row r="153" spans="1:7" x14ac:dyDescent="0.3">
      <c r="A153" s="15">
        <v>33</v>
      </c>
      <c r="B153" s="16">
        <f>INDEX('Weekly plan'!$C:$C,MATCH(A153,'Weekly plan'!$A:$A,0))</f>
        <v>46531</v>
      </c>
      <c r="C153" s="15" t="str">
        <f>INDEX('Weekly plan'!$D:$D,MATCH(A153,'Weekly plan'!$A:$A,0))</f>
        <v>Phase 1 · Romania growth</v>
      </c>
      <c r="D153" s="15" t="s">
        <v>22</v>
      </c>
      <c r="E153" s="15" t="s">
        <v>236</v>
      </c>
      <c r="F153" s="22"/>
      <c r="G153" s="23"/>
    </row>
    <row r="154" spans="1:7" x14ac:dyDescent="0.3">
      <c r="A154" s="15">
        <v>34</v>
      </c>
      <c r="B154" s="16">
        <f>INDEX('Weekly plan'!$C:$C,MATCH(A154,'Weekly plan'!$A:$A,0))</f>
        <v>46538</v>
      </c>
      <c r="C154" s="15" t="str">
        <f>INDEX('Weekly plan'!$D:$D,MATCH(A154,'Weekly plan'!$A:$A,0))</f>
        <v>Phase 1 · Romania growth</v>
      </c>
      <c r="D154" s="15" t="s">
        <v>42</v>
      </c>
      <c r="E154" s="15" t="s">
        <v>331</v>
      </c>
      <c r="F154" s="22"/>
      <c r="G154" s="23"/>
    </row>
    <row r="155" spans="1:7" x14ac:dyDescent="0.3">
      <c r="A155" s="15">
        <v>34</v>
      </c>
      <c r="B155" s="16">
        <f>INDEX('Weekly plan'!$C:$C,MATCH(A155,'Weekly plan'!$A:$A,0))</f>
        <v>46538</v>
      </c>
      <c r="C155" s="15" t="str">
        <f>INDEX('Weekly plan'!$D:$D,MATCH(A155,'Weekly plan'!$A:$A,0))</f>
        <v>Phase 1 · Romania growth</v>
      </c>
      <c r="D155" s="15" t="s">
        <v>43</v>
      </c>
      <c r="E155" s="15" t="s">
        <v>332</v>
      </c>
      <c r="F155" s="22"/>
      <c r="G155" s="23"/>
    </row>
    <row r="156" spans="1:7" x14ac:dyDescent="0.3">
      <c r="A156" s="15">
        <v>34</v>
      </c>
      <c r="B156" s="16">
        <f>INDEX('Weekly plan'!$C:$C,MATCH(A156,'Weekly plan'!$A:$A,0))</f>
        <v>46538</v>
      </c>
      <c r="C156" s="15" t="str">
        <f>INDEX('Weekly plan'!$D:$D,MATCH(A156,'Weekly plan'!$A:$A,0))</f>
        <v>Phase 1 · Romania growth</v>
      </c>
      <c r="D156" s="15" t="s">
        <v>183</v>
      </c>
      <c r="E156" s="15" t="s">
        <v>340</v>
      </c>
      <c r="F156" s="22"/>
      <c r="G156" s="23"/>
    </row>
    <row r="157" spans="1:7" x14ac:dyDescent="0.3">
      <c r="A157" s="15">
        <v>34</v>
      </c>
      <c r="B157" s="16">
        <f>INDEX('Weekly plan'!$C:$C,MATCH(A157,'Weekly plan'!$A:$A,0))</f>
        <v>46538</v>
      </c>
      <c r="C157" s="15" t="str">
        <f>INDEX('Weekly plan'!$D:$D,MATCH(A157,'Weekly plan'!$A:$A,0))</f>
        <v>Phase 1 · Romania growth</v>
      </c>
      <c r="D157" s="15" t="s">
        <v>22</v>
      </c>
      <c r="E157" s="15" t="s">
        <v>236</v>
      </c>
      <c r="F157" s="22"/>
      <c r="G157" s="23"/>
    </row>
    <row r="158" spans="1:7" x14ac:dyDescent="0.3">
      <c r="A158" s="15">
        <v>35</v>
      </c>
      <c r="B158" s="16">
        <f>INDEX('Weekly plan'!$C:$C,MATCH(A158,'Weekly plan'!$A:$A,0))</f>
        <v>46545</v>
      </c>
      <c r="C158" s="15" t="str">
        <f>INDEX('Weekly plan'!$D:$D,MATCH(A158,'Weekly plan'!$A:$A,0))</f>
        <v>Phase 1 · Romania growth</v>
      </c>
      <c r="D158" s="15" t="s">
        <v>42</v>
      </c>
      <c r="E158" s="15" t="s">
        <v>331</v>
      </c>
      <c r="F158" s="22"/>
      <c r="G158" s="23"/>
    </row>
    <row r="159" spans="1:7" x14ac:dyDescent="0.3">
      <c r="A159" s="15">
        <v>35</v>
      </c>
      <c r="B159" s="16">
        <f>INDEX('Weekly plan'!$C:$C,MATCH(A159,'Weekly plan'!$A:$A,0))</f>
        <v>46545</v>
      </c>
      <c r="C159" s="15" t="str">
        <f>INDEX('Weekly plan'!$D:$D,MATCH(A159,'Weekly plan'!$A:$A,0))</f>
        <v>Phase 1 · Romania growth</v>
      </c>
      <c r="D159" s="15" t="s">
        <v>43</v>
      </c>
      <c r="E159" s="15" t="s">
        <v>332</v>
      </c>
      <c r="F159" s="22"/>
      <c r="G159" s="23"/>
    </row>
    <row r="160" spans="1:7" x14ac:dyDescent="0.3">
      <c r="A160" s="15">
        <v>35</v>
      </c>
      <c r="B160" s="16">
        <f>INDEX('Weekly plan'!$C:$C,MATCH(A160,'Weekly plan'!$A:$A,0))</f>
        <v>46545</v>
      </c>
      <c r="C160" s="15" t="str">
        <f>INDEX('Weekly plan'!$D:$D,MATCH(A160,'Weekly plan'!$A:$A,0))</f>
        <v>Phase 1 · Romania growth</v>
      </c>
      <c r="D160" s="15" t="s">
        <v>44</v>
      </c>
      <c r="E160" s="15" t="s">
        <v>341</v>
      </c>
      <c r="F160" s="22"/>
      <c r="G160" s="23"/>
    </row>
    <row r="161" spans="1:7" x14ac:dyDescent="0.3">
      <c r="A161" s="15">
        <v>35</v>
      </c>
      <c r="B161" s="16">
        <f>INDEX('Weekly plan'!$C:$C,MATCH(A161,'Weekly plan'!$A:$A,0))</f>
        <v>46545</v>
      </c>
      <c r="C161" s="15" t="str">
        <f>INDEX('Weekly plan'!$D:$D,MATCH(A161,'Weekly plan'!$A:$A,0))</f>
        <v>Phase 1 · Romania growth</v>
      </c>
      <c r="D161" s="15" t="s">
        <v>46</v>
      </c>
      <c r="E161" s="15" t="s">
        <v>342</v>
      </c>
      <c r="F161" s="22"/>
      <c r="G161" s="23"/>
    </row>
    <row r="162" spans="1:7" x14ac:dyDescent="0.3">
      <c r="A162" s="15">
        <v>35</v>
      </c>
      <c r="B162" s="16">
        <f>INDEX('Weekly plan'!$C:$C,MATCH(A162,'Weekly plan'!$A:$A,0))</f>
        <v>46545</v>
      </c>
      <c r="C162" s="15" t="str">
        <f>INDEX('Weekly plan'!$D:$D,MATCH(A162,'Weekly plan'!$A:$A,0))</f>
        <v>Phase 1 · Romania growth</v>
      </c>
      <c r="D162" s="15" t="s">
        <v>22</v>
      </c>
      <c r="E162" s="15" t="s">
        <v>236</v>
      </c>
      <c r="F162" s="22"/>
      <c r="G162" s="23"/>
    </row>
    <row r="163" spans="1:7" x14ac:dyDescent="0.3">
      <c r="A163" s="15">
        <v>36</v>
      </c>
      <c r="B163" s="16">
        <f>INDEX('Weekly plan'!$C:$C,MATCH(A163,'Weekly plan'!$A:$A,0))</f>
        <v>46552</v>
      </c>
      <c r="C163" s="15" t="str">
        <f>INDEX('Weekly plan'!$D:$D,MATCH(A163,'Weekly plan'!$A:$A,0))</f>
        <v>Phase 1 · Romania growth</v>
      </c>
      <c r="D163" s="15" t="s">
        <v>42</v>
      </c>
      <c r="E163" s="15" t="s">
        <v>331</v>
      </c>
      <c r="F163" s="22"/>
      <c r="G163" s="23"/>
    </row>
    <row r="164" spans="1:7" x14ac:dyDescent="0.3">
      <c r="A164" s="15">
        <v>36</v>
      </c>
      <c r="B164" s="16">
        <f>INDEX('Weekly plan'!$C:$C,MATCH(A164,'Weekly plan'!$A:$A,0))</f>
        <v>46552</v>
      </c>
      <c r="C164" s="15" t="str">
        <f>INDEX('Weekly plan'!$D:$D,MATCH(A164,'Weekly plan'!$A:$A,0))</f>
        <v>Phase 1 · Romania growth</v>
      </c>
      <c r="D164" s="15" t="s">
        <v>43</v>
      </c>
      <c r="E164" s="15" t="s">
        <v>332</v>
      </c>
      <c r="F164" s="22"/>
      <c r="G164" s="23"/>
    </row>
    <row r="165" spans="1:7" x14ac:dyDescent="0.3">
      <c r="A165" s="15">
        <v>36</v>
      </c>
      <c r="B165" s="16">
        <f>INDEX('Weekly plan'!$C:$C,MATCH(A165,'Weekly plan'!$A:$A,0))</f>
        <v>46552</v>
      </c>
      <c r="C165" s="15" t="str">
        <f>INDEX('Weekly plan'!$D:$D,MATCH(A165,'Weekly plan'!$A:$A,0))</f>
        <v>Phase 1 · Romania growth</v>
      </c>
      <c r="D165" s="15" t="s">
        <v>188</v>
      </c>
      <c r="E165" s="15" t="s">
        <v>343</v>
      </c>
      <c r="F165" s="22"/>
      <c r="G165" s="23"/>
    </row>
    <row r="166" spans="1:7" x14ac:dyDescent="0.3">
      <c r="A166" s="15">
        <v>36</v>
      </c>
      <c r="B166" s="16">
        <f>INDEX('Weekly plan'!$C:$C,MATCH(A166,'Weekly plan'!$A:$A,0))</f>
        <v>46552</v>
      </c>
      <c r="C166" s="15" t="str">
        <f>INDEX('Weekly plan'!$D:$D,MATCH(A166,'Weekly plan'!$A:$A,0))</f>
        <v>Phase 1 · Romania growth</v>
      </c>
      <c r="D166" s="15" t="s">
        <v>22</v>
      </c>
      <c r="E166" s="15" t="s">
        <v>236</v>
      </c>
      <c r="F166" s="22"/>
      <c r="G166" s="23"/>
    </row>
    <row r="167" spans="1:7" x14ac:dyDescent="0.3">
      <c r="A167" s="15">
        <v>37</v>
      </c>
      <c r="B167" s="16">
        <f>INDEX('Weekly plan'!$C:$C,MATCH(A167,'Weekly plan'!$A:$A,0))</f>
        <v>46559</v>
      </c>
      <c r="C167" s="15" t="str">
        <f>INDEX('Weekly plan'!$D:$D,MATCH(A167,'Weekly plan'!$A:$A,0))</f>
        <v>Phase 1 · Romania growth</v>
      </c>
      <c r="D167" s="15" t="s">
        <v>42</v>
      </c>
      <c r="E167" s="15" t="s">
        <v>331</v>
      </c>
      <c r="F167" s="22"/>
      <c r="G167" s="23"/>
    </row>
    <row r="168" spans="1:7" x14ac:dyDescent="0.3">
      <c r="A168" s="15">
        <v>37</v>
      </c>
      <c r="B168" s="16">
        <f>INDEX('Weekly plan'!$C:$C,MATCH(A168,'Weekly plan'!$A:$A,0))</f>
        <v>46559</v>
      </c>
      <c r="C168" s="15" t="str">
        <f>INDEX('Weekly plan'!$D:$D,MATCH(A168,'Weekly plan'!$A:$A,0))</f>
        <v>Phase 1 · Romania growth</v>
      </c>
      <c r="D168" s="15" t="s">
        <v>43</v>
      </c>
      <c r="E168" s="15" t="s">
        <v>344</v>
      </c>
      <c r="F168" s="22"/>
      <c r="G168" s="23"/>
    </row>
    <row r="169" spans="1:7" x14ac:dyDescent="0.3">
      <c r="A169" s="15">
        <v>37</v>
      </c>
      <c r="B169" s="16">
        <f>INDEX('Weekly plan'!$C:$C,MATCH(A169,'Weekly plan'!$A:$A,0))</f>
        <v>46559</v>
      </c>
      <c r="C169" s="15" t="str">
        <f>INDEX('Weekly plan'!$D:$D,MATCH(A169,'Weekly plan'!$A:$A,0))</f>
        <v>Phase 1 · Romania growth</v>
      </c>
      <c r="D169" s="15" t="s">
        <v>45</v>
      </c>
      <c r="E169" s="15" t="s">
        <v>345</v>
      </c>
      <c r="F169" s="22"/>
      <c r="G169" s="23"/>
    </row>
    <row r="170" spans="1:7" x14ac:dyDescent="0.3">
      <c r="A170" s="15">
        <v>37</v>
      </c>
      <c r="B170" s="16">
        <f>INDEX('Weekly plan'!$C:$C,MATCH(A170,'Weekly plan'!$A:$A,0))</f>
        <v>46559</v>
      </c>
      <c r="C170" s="15" t="str">
        <f>INDEX('Weekly plan'!$D:$D,MATCH(A170,'Weekly plan'!$A:$A,0))</f>
        <v>Phase 1 · Romania growth</v>
      </c>
      <c r="D170" s="15" t="s">
        <v>22</v>
      </c>
      <c r="E170" s="15" t="s">
        <v>236</v>
      </c>
      <c r="F170" s="22"/>
      <c r="G170" s="23"/>
    </row>
    <row r="171" spans="1:7" x14ac:dyDescent="0.3">
      <c r="A171" s="15">
        <v>38</v>
      </c>
      <c r="B171" s="16">
        <f>INDEX('Weekly plan'!$C:$C,MATCH(A171,'Weekly plan'!$A:$A,0))</f>
        <v>46566</v>
      </c>
      <c r="C171" s="15" t="str">
        <f>INDEX('Weekly plan'!$D:$D,MATCH(A171,'Weekly plan'!$A:$A,0))</f>
        <v>Phase 1 · Romania growth</v>
      </c>
      <c r="D171" s="15" t="s">
        <v>42</v>
      </c>
      <c r="E171" s="15" t="s">
        <v>331</v>
      </c>
      <c r="F171" s="22"/>
      <c r="G171" s="23"/>
    </row>
    <row r="172" spans="1:7" x14ac:dyDescent="0.3">
      <c r="A172" s="15">
        <v>38</v>
      </c>
      <c r="B172" s="16">
        <f>INDEX('Weekly plan'!$C:$C,MATCH(A172,'Weekly plan'!$A:$A,0))</f>
        <v>46566</v>
      </c>
      <c r="C172" s="15" t="str">
        <f>INDEX('Weekly plan'!$D:$D,MATCH(A172,'Weekly plan'!$A:$A,0))</f>
        <v>Phase 1 · Romania growth</v>
      </c>
      <c r="D172" s="15" t="s">
        <v>43</v>
      </c>
      <c r="E172" s="15" t="s">
        <v>332</v>
      </c>
      <c r="F172" s="22"/>
      <c r="G172" s="23"/>
    </row>
    <row r="173" spans="1:7" x14ac:dyDescent="0.3">
      <c r="A173" s="15">
        <v>38</v>
      </c>
      <c r="B173" s="16">
        <f>INDEX('Weekly plan'!$C:$C,MATCH(A173,'Weekly plan'!$A:$A,0))</f>
        <v>46566</v>
      </c>
      <c r="C173" s="15" t="str">
        <f>INDEX('Weekly plan'!$D:$D,MATCH(A173,'Weekly plan'!$A:$A,0))</f>
        <v>Phase 1 · Romania growth</v>
      </c>
      <c r="D173" s="15" t="s">
        <v>188</v>
      </c>
      <c r="E173" s="15" t="s">
        <v>346</v>
      </c>
      <c r="F173" s="22"/>
      <c r="G173" s="23"/>
    </row>
    <row r="174" spans="1:7" x14ac:dyDescent="0.3">
      <c r="A174" s="15">
        <v>38</v>
      </c>
      <c r="B174" s="16">
        <f>INDEX('Weekly plan'!$C:$C,MATCH(A174,'Weekly plan'!$A:$A,0))</f>
        <v>46566</v>
      </c>
      <c r="C174" s="15" t="str">
        <f>INDEX('Weekly plan'!$D:$D,MATCH(A174,'Weekly plan'!$A:$A,0))</f>
        <v>Phase 1 · Romania growth</v>
      </c>
      <c r="D174" s="15" t="s">
        <v>22</v>
      </c>
      <c r="E174" s="15" t="s">
        <v>236</v>
      </c>
      <c r="F174" s="22"/>
      <c r="G174" s="23"/>
    </row>
    <row r="175" spans="1:7" x14ac:dyDescent="0.3">
      <c r="A175" s="15">
        <v>39</v>
      </c>
      <c r="B175" s="16">
        <f>INDEX('Weekly plan'!$C:$C,MATCH(A175,'Weekly plan'!$A:$A,0))</f>
        <v>46573</v>
      </c>
      <c r="C175" s="15" t="str">
        <f>INDEX('Weekly plan'!$D:$D,MATCH(A175,'Weekly plan'!$A:$A,0))</f>
        <v>Phase 1 · Romania growth</v>
      </c>
      <c r="D175" s="15" t="s">
        <v>42</v>
      </c>
      <c r="E175" s="15" t="s">
        <v>331</v>
      </c>
      <c r="F175" s="22"/>
      <c r="G175" s="23"/>
    </row>
    <row r="176" spans="1:7" x14ac:dyDescent="0.3">
      <c r="A176" s="15">
        <v>39</v>
      </c>
      <c r="B176" s="16">
        <f>INDEX('Weekly plan'!$C:$C,MATCH(A176,'Weekly plan'!$A:$A,0))</f>
        <v>46573</v>
      </c>
      <c r="C176" s="15" t="str">
        <f>INDEX('Weekly plan'!$D:$D,MATCH(A176,'Weekly plan'!$A:$A,0))</f>
        <v>Phase 1 · Romania growth</v>
      </c>
      <c r="D176" s="15" t="s">
        <v>43</v>
      </c>
      <c r="E176" s="15" t="s">
        <v>332</v>
      </c>
      <c r="F176" s="22"/>
      <c r="G176" s="23"/>
    </row>
    <row r="177" spans="1:7" x14ac:dyDescent="0.3">
      <c r="A177" s="15">
        <v>39</v>
      </c>
      <c r="B177" s="16">
        <f>INDEX('Weekly plan'!$C:$C,MATCH(A177,'Weekly plan'!$A:$A,0))</f>
        <v>46573</v>
      </c>
      <c r="C177" s="15" t="str">
        <f>INDEX('Weekly plan'!$D:$D,MATCH(A177,'Weekly plan'!$A:$A,0))</f>
        <v>Phase 1 · Romania growth</v>
      </c>
      <c r="D177" s="15" t="s">
        <v>246</v>
      </c>
      <c r="E177" s="15" t="s">
        <v>347</v>
      </c>
      <c r="F177" s="22"/>
      <c r="G177" s="23"/>
    </row>
    <row r="178" spans="1:7" x14ac:dyDescent="0.3">
      <c r="A178" s="15">
        <v>39</v>
      </c>
      <c r="B178" s="16">
        <f>INDEX('Weekly plan'!$C:$C,MATCH(A178,'Weekly plan'!$A:$A,0))</f>
        <v>46573</v>
      </c>
      <c r="C178" s="15" t="str">
        <f>INDEX('Weekly plan'!$D:$D,MATCH(A178,'Weekly plan'!$A:$A,0))</f>
        <v>Phase 1 · Romania growth</v>
      </c>
      <c r="D178" s="15" t="s">
        <v>22</v>
      </c>
      <c r="E178" s="15" t="s">
        <v>236</v>
      </c>
      <c r="F178" s="22"/>
      <c r="G178" s="23"/>
    </row>
    <row r="179" spans="1:7" x14ac:dyDescent="0.3">
      <c r="A179" s="15">
        <v>40</v>
      </c>
      <c r="B179" s="16">
        <f>INDEX('Weekly plan'!$C:$C,MATCH(A179,'Weekly plan'!$A:$A,0))</f>
        <v>46580</v>
      </c>
      <c r="C179" s="15" t="str">
        <f>INDEX('Weekly plan'!$D:$D,MATCH(A179,'Weekly plan'!$A:$A,0))</f>
        <v>Phase 2 · New segments</v>
      </c>
      <c r="D179" s="15" t="s">
        <v>42</v>
      </c>
      <c r="E179" s="15" t="s">
        <v>331</v>
      </c>
      <c r="F179" s="22"/>
      <c r="G179" s="23"/>
    </row>
    <row r="180" spans="1:7" x14ac:dyDescent="0.3">
      <c r="A180" s="15">
        <v>40</v>
      </c>
      <c r="B180" s="16">
        <f>INDEX('Weekly plan'!$C:$C,MATCH(A180,'Weekly plan'!$A:$A,0))</f>
        <v>46580</v>
      </c>
      <c r="C180" s="15" t="str">
        <f>INDEX('Weekly plan'!$D:$D,MATCH(A180,'Weekly plan'!$A:$A,0))</f>
        <v>Phase 2 · New segments</v>
      </c>
      <c r="D180" s="15" t="s">
        <v>43</v>
      </c>
      <c r="E180" s="15" t="s">
        <v>332</v>
      </c>
      <c r="F180" s="22"/>
      <c r="G180" s="23"/>
    </row>
    <row r="181" spans="1:7" x14ac:dyDescent="0.3">
      <c r="A181" s="15">
        <v>40</v>
      </c>
      <c r="B181" s="16">
        <f>INDEX('Weekly plan'!$C:$C,MATCH(A181,'Weekly plan'!$A:$A,0))</f>
        <v>46580</v>
      </c>
      <c r="C181" s="15" t="str">
        <f>INDEX('Weekly plan'!$D:$D,MATCH(A181,'Weekly plan'!$A:$A,0))</f>
        <v>Phase 2 · New segments</v>
      </c>
      <c r="D181" s="15" t="s">
        <v>348</v>
      </c>
      <c r="E181" s="15" t="s">
        <v>349</v>
      </c>
      <c r="F181" s="22"/>
      <c r="G181" s="23"/>
    </row>
    <row r="182" spans="1:7" x14ac:dyDescent="0.3">
      <c r="A182" s="15">
        <v>40</v>
      </c>
      <c r="B182" s="16">
        <f>INDEX('Weekly plan'!$C:$C,MATCH(A182,'Weekly plan'!$A:$A,0))</f>
        <v>46580</v>
      </c>
      <c r="C182" s="15" t="str">
        <f>INDEX('Weekly plan'!$D:$D,MATCH(A182,'Weekly plan'!$A:$A,0))</f>
        <v>Phase 2 · New segments</v>
      </c>
      <c r="D182" s="15" t="s">
        <v>350</v>
      </c>
      <c r="E182" s="15" t="s">
        <v>351</v>
      </c>
      <c r="F182" s="22"/>
      <c r="G182" s="23"/>
    </row>
    <row r="183" spans="1:7" x14ac:dyDescent="0.3">
      <c r="A183" s="15">
        <v>40</v>
      </c>
      <c r="B183" s="16">
        <f>INDEX('Weekly plan'!$C:$C,MATCH(A183,'Weekly plan'!$A:$A,0))</f>
        <v>46580</v>
      </c>
      <c r="C183" s="15" t="str">
        <f>INDEX('Weekly plan'!$D:$D,MATCH(A183,'Weekly plan'!$A:$A,0))</f>
        <v>Phase 2 · New segments</v>
      </c>
      <c r="D183" s="15" t="s">
        <v>22</v>
      </c>
      <c r="E183" s="15" t="s">
        <v>236</v>
      </c>
      <c r="F183" s="22"/>
      <c r="G183" s="23"/>
    </row>
    <row r="184" spans="1:7" x14ac:dyDescent="0.3">
      <c r="A184" s="15">
        <v>41</v>
      </c>
      <c r="B184" s="16">
        <f>INDEX('Weekly plan'!$C:$C,MATCH(A184,'Weekly plan'!$A:$A,0))</f>
        <v>46587</v>
      </c>
      <c r="C184" s="15" t="str">
        <f>INDEX('Weekly plan'!$D:$D,MATCH(A184,'Weekly plan'!$A:$A,0))</f>
        <v>Phase 2 · New segments</v>
      </c>
      <c r="D184" s="15" t="s">
        <v>42</v>
      </c>
      <c r="E184" s="15" t="s">
        <v>331</v>
      </c>
      <c r="F184" s="22"/>
      <c r="G184" s="23"/>
    </row>
    <row r="185" spans="1:7" x14ac:dyDescent="0.3">
      <c r="A185" s="15">
        <v>41</v>
      </c>
      <c r="B185" s="16">
        <f>INDEX('Weekly plan'!$C:$C,MATCH(A185,'Weekly plan'!$A:$A,0))</f>
        <v>46587</v>
      </c>
      <c r="C185" s="15" t="str">
        <f>INDEX('Weekly plan'!$D:$D,MATCH(A185,'Weekly plan'!$A:$A,0))</f>
        <v>Phase 2 · New segments</v>
      </c>
      <c r="D185" s="15" t="s">
        <v>43</v>
      </c>
      <c r="E185" s="15" t="s">
        <v>332</v>
      </c>
      <c r="F185" s="22"/>
      <c r="G185" s="23"/>
    </row>
    <row r="186" spans="1:7" x14ac:dyDescent="0.3">
      <c r="A186" s="15">
        <v>41</v>
      </c>
      <c r="B186" s="16">
        <f>INDEX('Weekly plan'!$C:$C,MATCH(A186,'Weekly plan'!$A:$A,0))</f>
        <v>46587</v>
      </c>
      <c r="C186" s="15" t="str">
        <f>INDEX('Weekly plan'!$D:$D,MATCH(A186,'Weekly plan'!$A:$A,0))</f>
        <v>Phase 2 · New segments</v>
      </c>
      <c r="D186" s="15" t="s">
        <v>336</v>
      </c>
      <c r="E186" s="15" t="s">
        <v>200</v>
      </c>
      <c r="F186" s="22"/>
      <c r="G186" s="23"/>
    </row>
    <row r="187" spans="1:7" x14ac:dyDescent="0.3">
      <c r="A187" s="15">
        <v>41</v>
      </c>
      <c r="B187" s="16">
        <f>INDEX('Weekly plan'!$C:$C,MATCH(A187,'Weekly plan'!$A:$A,0))</f>
        <v>46587</v>
      </c>
      <c r="C187" s="15" t="str">
        <f>INDEX('Weekly plan'!$D:$D,MATCH(A187,'Weekly plan'!$A:$A,0))</f>
        <v>Phase 2 · New segments</v>
      </c>
      <c r="D187" s="15" t="s">
        <v>352</v>
      </c>
      <c r="E187" s="15" t="s">
        <v>353</v>
      </c>
      <c r="F187" s="22"/>
      <c r="G187" s="23"/>
    </row>
    <row r="188" spans="1:7" x14ac:dyDescent="0.3">
      <c r="A188" s="15">
        <v>41</v>
      </c>
      <c r="B188" s="16">
        <f>INDEX('Weekly plan'!$C:$C,MATCH(A188,'Weekly plan'!$A:$A,0))</f>
        <v>46587</v>
      </c>
      <c r="C188" s="15" t="str">
        <f>INDEX('Weekly plan'!$D:$D,MATCH(A188,'Weekly plan'!$A:$A,0))</f>
        <v>Phase 2 · New segments</v>
      </c>
      <c r="D188" s="15" t="s">
        <v>22</v>
      </c>
      <c r="E188" s="15" t="s">
        <v>236</v>
      </c>
      <c r="F188" s="22"/>
      <c r="G188" s="23"/>
    </row>
    <row r="189" spans="1:7" x14ac:dyDescent="0.3">
      <c r="A189" s="15">
        <v>42</v>
      </c>
      <c r="B189" s="16">
        <f>INDEX('Weekly plan'!$C:$C,MATCH(A189,'Weekly plan'!$A:$A,0))</f>
        <v>46594</v>
      </c>
      <c r="C189" s="15" t="str">
        <f>INDEX('Weekly plan'!$D:$D,MATCH(A189,'Weekly plan'!$A:$A,0))</f>
        <v>Phase 2 · New segments</v>
      </c>
      <c r="D189" s="15" t="s">
        <v>42</v>
      </c>
      <c r="E189" s="15" t="s">
        <v>331</v>
      </c>
      <c r="F189" s="22"/>
      <c r="G189" s="23"/>
    </row>
    <row r="190" spans="1:7" x14ac:dyDescent="0.3">
      <c r="A190" s="15">
        <v>42</v>
      </c>
      <c r="B190" s="16">
        <f>INDEX('Weekly plan'!$C:$C,MATCH(A190,'Weekly plan'!$A:$A,0))</f>
        <v>46594</v>
      </c>
      <c r="C190" s="15" t="str">
        <f>INDEX('Weekly plan'!$D:$D,MATCH(A190,'Weekly plan'!$A:$A,0))</f>
        <v>Phase 2 · New segments</v>
      </c>
      <c r="D190" s="15" t="s">
        <v>43</v>
      </c>
      <c r="E190" s="15" t="s">
        <v>332</v>
      </c>
      <c r="F190" s="22"/>
      <c r="G190" s="23"/>
    </row>
    <row r="191" spans="1:7" x14ac:dyDescent="0.3">
      <c r="A191" s="15">
        <v>42</v>
      </c>
      <c r="B191" s="16">
        <f>INDEX('Weekly plan'!$C:$C,MATCH(A191,'Weekly plan'!$A:$A,0))</f>
        <v>46594</v>
      </c>
      <c r="C191" s="15" t="str">
        <f>INDEX('Weekly plan'!$D:$D,MATCH(A191,'Weekly plan'!$A:$A,0))</f>
        <v>Phase 2 · New segments</v>
      </c>
      <c r="D191" s="15" t="s">
        <v>208</v>
      </c>
      <c r="E191" s="15" t="s">
        <v>354</v>
      </c>
      <c r="F191" s="22"/>
      <c r="G191" s="23"/>
    </row>
    <row r="192" spans="1:7" x14ac:dyDescent="0.3">
      <c r="A192" s="15">
        <v>42</v>
      </c>
      <c r="B192" s="16">
        <f>INDEX('Weekly plan'!$C:$C,MATCH(A192,'Weekly plan'!$A:$A,0))</f>
        <v>46594</v>
      </c>
      <c r="C192" s="15" t="str">
        <f>INDEX('Weekly plan'!$D:$D,MATCH(A192,'Weekly plan'!$A:$A,0))</f>
        <v>Phase 2 · New segments</v>
      </c>
      <c r="D192" s="15" t="s">
        <v>22</v>
      </c>
      <c r="E192" s="15" t="s">
        <v>236</v>
      </c>
      <c r="F192" s="22"/>
      <c r="G192" s="23"/>
    </row>
    <row r="193" spans="1:7" x14ac:dyDescent="0.3">
      <c r="A193" s="15">
        <v>43</v>
      </c>
      <c r="B193" s="16">
        <f>INDEX('Weekly plan'!$C:$C,MATCH(A193,'Weekly plan'!$A:$A,0))</f>
        <v>46601</v>
      </c>
      <c r="C193" s="15" t="str">
        <f>INDEX('Weekly plan'!$D:$D,MATCH(A193,'Weekly plan'!$A:$A,0))</f>
        <v>Phase 2 · New segments</v>
      </c>
      <c r="D193" s="15" t="s">
        <v>42</v>
      </c>
      <c r="E193" s="15" t="s">
        <v>331</v>
      </c>
      <c r="F193" s="22"/>
      <c r="G193" s="23"/>
    </row>
    <row r="194" spans="1:7" x14ac:dyDescent="0.3">
      <c r="A194" s="15">
        <v>43</v>
      </c>
      <c r="B194" s="16">
        <f>INDEX('Weekly plan'!$C:$C,MATCH(A194,'Weekly plan'!$A:$A,0))</f>
        <v>46601</v>
      </c>
      <c r="C194" s="15" t="str">
        <f>INDEX('Weekly plan'!$D:$D,MATCH(A194,'Weekly plan'!$A:$A,0))</f>
        <v>Phase 2 · New segments</v>
      </c>
      <c r="D194" s="15" t="s">
        <v>43</v>
      </c>
      <c r="E194" s="15" t="s">
        <v>355</v>
      </c>
      <c r="F194" s="22"/>
      <c r="G194" s="23"/>
    </row>
    <row r="195" spans="1:7" x14ac:dyDescent="0.3">
      <c r="A195" s="15">
        <v>43</v>
      </c>
      <c r="B195" s="16">
        <f>INDEX('Weekly plan'!$C:$C,MATCH(A195,'Weekly plan'!$A:$A,0))</f>
        <v>46601</v>
      </c>
      <c r="C195" s="15" t="str">
        <f>INDEX('Weekly plan'!$D:$D,MATCH(A195,'Weekly plan'!$A:$A,0))</f>
        <v>Phase 2 · New segments</v>
      </c>
      <c r="D195" s="15" t="s">
        <v>44</v>
      </c>
      <c r="E195" s="15" t="s">
        <v>356</v>
      </c>
      <c r="F195" s="22"/>
      <c r="G195" s="23"/>
    </row>
    <row r="196" spans="1:7" x14ac:dyDescent="0.3">
      <c r="A196" s="15">
        <v>43</v>
      </c>
      <c r="B196" s="16">
        <f>INDEX('Weekly plan'!$C:$C,MATCH(A196,'Weekly plan'!$A:$A,0))</f>
        <v>46601</v>
      </c>
      <c r="C196" s="15" t="str">
        <f>INDEX('Weekly plan'!$D:$D,MATCH(A196,'Weekly plan'!$A:$A,0))</f>
        <v>Phase 2 · New segments</v>
      </c>
      <c r="D196" s="15" t="s">
        <v>267</v>
      </c>
      <c r="E196" s="15" t="s">
        <v>357</v>
      </c>
      <c r="F196" s="22"/>
      <c r="G196" s="23"/>
    </row>
    <row r="197" spans="1:7" x14ac:dyDescent="0.3">
      <c r="A197" s="15">
        <v>43</v>
      </c>
      <c r="B197" s="16">
        <f>INDEX('Weekly plan'!$C:$C,MATCH(A197,'Weekly plan'!$A:$A,0))</f>
        <v>46601</v>
      </c>
      <c r="C197" s="15" t="str">
        <f>INDEX('Weekly plan'!$D:$D,MATCH(A197,'Weekly plan'!$A:$A,0))</f>
        <v>Phase 2 · New segments</v>
      </c>
      <c r="D197" s="15" t="s">
        <v>22</v>
      </c>
      <c r="E197" s="15" t="s">
        <v>236</v>
      </c>
      <c r="F197" s="22"/>
      <c r="G197" s="23"/>
    </row>
    <row r="198" spans="1:7" x14ac:dyDescent="0.3">
      <c r="A198" s="15">
        <v>44</v>
      </c>
      <c r="B198" s="16">
        <f>INDEX('Weekly plan'!$C:$C,MATCH(A198,'Weekly plan'!$A:$A,0))</f>
        <v>46608</v>
      </c>
      <c r="C198" s="15" t="str">
        <f>INDEX('Weekly plan'!$D:$D,MATCH(A198,'Weekly plan'!$A:$A,0))</f>
        <v>Phase 2 · New segments</v>
      </c>
      <c r="D198" s="15" t="s">
        <v>42</v>
      </c>
      <c r="E198" s="15" t="s">
        <v>331</v>
      </c>
      <c r="F198" s="22"/>
      <c r="G198" s="23"/>
    </row>
    <row r="199" spans="1:7" x14ac:dyDescent="0.3">
      <c r="A199" s="15">
        <v>44</v>
      </c>
      <c r="B199" s="16">
        <f>INDEX('Weekly plan'!$C:$C,MATCH(A199,'Weekly plan'!$A:$A,0))</f>
        <v>46608</v>
      </c>
      <c r="C199" s="15" t="str">
        <f>INDEX('Weekly plan'!$D:$D,MATCH(A199,'Weekly plan'!$A:$A,0))</f>
        <v>Phase 2 · New segments</v>
      </c>
      <c r="D199" s="15" t="s">
        <v>43</v>
      </c>
      <c r="E199" s="15" t="s">
        <v>355</v>
      </c>
      <c r="F199" s="22"/>
      <c r="G199" s="23"/>
    </row>
    <row r="200" spans="1:7" x14ac:dyDescent="0.3">
      <c r="A200" s="15">
        <v>44</v>
      </c>
      <c r="B200" s="16">
        <f>INDEX('Weekly plan'!$C:$C,MATCH(A200,'Weekly plan'!$A:$A,0))</f>
        <v>46608</v>
      </c>
      <c r="C200" s="15" t="str">
        <f>INDEX('Weekly plan'!$D:$D,MATCH(A200,'Weekly plan'!$A:$A,0))</f>
        <v>Phase 2 · New segments</v>
      </c>
      <c r="D200" s="15" t="s">
        <v>44</v>
      </c>
      <c r="E200" s="15" t="s">
        <v>356</v>
      </c>
      <c r="F200" s="22"/>
      <c r="G200" s="23"/>
    </row>
    <row r="201" spans="1:7" x14ac:dyDescent="0.3">
      <c r="A201" s="15">
        <v>44</v>
      </c>
      <c r="B201" s="16">
        <f>INDEX('Weekly plan'!$C:$C,MATCH(A201,'Weekly plan'!$A:$A,0))</f>
        <v>46608</v>
      </c>
      <c r="C201" s="15" t="str">
        <f>INDEX('Weekly plan'!$D:$D,MATCH(A201,'Weekly plan'!$A:$A,0))</f>
        <v>Phase 2 · New segments</v>
      </c>
      <c r="D201" s="15" t="s">
        <v>208</v>
      </c>
      <c r="E201" s="15" t="s">
        <v>358</v>
      </c>
      <c r="F201" s="22"/>
      <c r="G201" s="23"/>
    </row>
    <row r="202" spans="1:7" x14ac:dyDescent="0.3">
      <c r="A202" s="15">
        <v>44</v>
      </c>
      <c r="B202" s="16">
        <f>INDEX('Weekly plan'!$C:$C,MATCH(A202,'Weekly plan'!$A:$A,0))</f>
        <v>46608</v>
      </c>
      <c r="C202" s="15" t="str">
        <f>INDEX('Weekly plan'!$D:$D,MATCH(A202,'Weekly plan'!$A:$A,0))</f>
        <v>Phase 2 · New segments</v>
      </c>
      <c r="D202" s="15" t="s">
        <v>22</v>
      </c>
      <c r="E202" s="15" t="s">
        <v>236</v>
      </c>
      <c r="F202" s="22"/>
      <c r="G202" s="23"/>
    </row>
    <row r="203" spans="1:7" x14ac:dyDescent="0.3">
      <c r="A203" s="15">
        <v>45</v>
      </c>
      <c r="B203" s="16">
        <f>INDEX('Weekly plan'!$C:$C,MATCH(A203,'Weekly plan'!$A:$A,0))</f>
        <v>46615</v>
      </c>
      <c r="C203" s="15" t="str">
        <f>INDEX('Weekly plan'!$D:$D,MATCH(A203,'Weekly plan'!$A:$A,0))</f>
        <v>Phase 2 · New segments</v>
      </c>
      <c r="D203" s="15" t="s">
        <v>42</v>
      </c>
      <c r="E203" s="15" t="s">
        <v>331</v>
      </c>
      <c r="F203" s="22"/>
      <c r="G203" s="23"/>
    </row>
    <row r="204" spans="1:7" x14ac:dyDescent="0.3">
      <c r="A204" s="15">
        <v>45</v>
      </c>
      <c r="B204" s="16">
        <f>INDEX('Weekly plan'!$C:$C,MATCH(A204,'Weekly plan'!$A:$A,0))</f>
        <v>46615</v>
      </c>
      <c r="C204" s="15" t="str">
        <f>INDEX('Weekly plan'!$D:$D,MATCH(A204,'Weekly plan'!$A:$A,0))</f>
        <v>Phase 2 · New segments</v>
      </c>
      <c r="D204" s="15" t="s">
        <v>43</v>
      </c>
      <c r="E204" s="15" t="s">
        <v>355</v>
      </c>
      <c r="F204" s="22"/>
      <c r="G204" s="23"/>
    </row>
    <row r="205" spans="1:7" x14ac:dyDescent="0.3">
      <c r="A205" s="15">
        <v>45</v>
      </c>
      <c r="B205" s="16">
        <f>INDEX('Weekly plan'!$C:$C,MATCH(A205,'Weekly plan'!$A:$A,0))</f>
        <v>46615</v>
      </c>
      <c r="C205" s="15" t="str">
        <f>INDEX('Weekly plan'!$D:$D,MATCH(A205,'Weekly plan'!$A:$A,0))</f>
        <v>Phase 2 · New segments</v>
      </c>
      <c r="D205" s="15" t="s">
        <v>44</v>
      </c>
      <c r="E205" s="15" t="s">
        <v>356</v>
      </c>
      <c r="F205" s="22"/>
      <c r="G205" s="23"/>
    </row>
    <row r="206" spans="1:7" x14ac:dyDescent="0.3">
      <c r="A206" s="15">
        <v>45</v>
      </c>
      <c r="B206" s="16">
        <f>INDEX('Weekly plan'!$C:$C,MATCH(A206,'Weekly plan'!$A:$A,0))</f>
        <v>46615</v>
      </c>
      <c r="C206" s="15" t="str">
        <f>INDEX('Weekly plan'!$D:$D,MATCH(A206,'Weekly plan'!$A:$A,0))</f>
        <v>Phase 2 · New segments</v>
      </c>
      <c r="D206" s="15" t="s">
        <v>267</v>
      </c>
      <c r="E206" s="15" t="s">
        <v>359</v>
      </c>
      <c r="F206" s="22"/>
      <c r="G206" s="23"/>
    </row>
    <row r="207" spans="1:7" x14ac:dyDescent="0.3">
      <c r="A207" s="15">
        <v>45</v>
      </c>
      <c r="B207" s="16">
        <f>INDEX('Weekly plan'!$C:$C,MATCH(A207,'Weekly plan'!$A:$A,0))</f>
        <v>46615</v>
      </c>
      <c r="C207" s="15" t="str">
        <f>INDEX('Weekly plan'!$D:$D,MATCH(A207,'Weekly plan'!$A:$A,0))</f>
        <v>Phase 2 · New segments</v>
      </c>
      <c r="D207" s="15" t="s">
        <v>22</v>
      </c>
      <c r="E207" s="15" t="s">
        <v>236</v>
      </c>
      <c r="F207" s="22"/>
      <c r="G207" s="23"/>
    </row>
    <row r="208" spans="1:7" x14ac:dyDescent="0.3">
      <c r="A208" s="15">
        <v>46</v>
      </c>
      <c r="B208" s="16">
        <f>INDEX('Weekly plan'!$C:$C,MATCH(A208,'Weekly plan'!$A:$A,0))</f>
        <v>46622</v>
      </c>
      <c r="C208" s="15" t="str">
        <f>INDEX('Weekly plan'!$D:$D,MATCH(A208,'Weekly plan'!$A:$A,0))</f>
        <v>Phase 2 · New segments</v>
      </c>
      <c r="D208" s="15" t="s">
        <v>42</v>
      </c>
      <c r="E208" s="15" t="s">
        <v>331</v>
      </c>
      <c r="F208" s="22"/>
      <c r="G208" s="23"/>
    </row>
    <row r="209" spans="1:7" x14ac:dyDescent="0.3">
      <c r="A209" s="15">
        <v>46</v>
      </c>
      <c r="B209" s="16">
        <f>INDEX('Weekly plan'!$C:$C,MATCH(A209,'Weekly plan'!$A:$A,0))</f>
        <v>46622</v>
      </c>
      <c r="C209" s="15" t="str">
        <f>INDEX('Weekly plan'!$D:$D,MATCH(A209,'Weekly plan'!$A:$A,0))</f>
        <v>Phase 2 · New segments</v>
      </c>
      <c r="D209" s="15" t="s">
        <v>43</v>
      </c>
      <c r="E209" s="15" t="s">
        <v>355</v>
      </c>
      <c r="F209" s="22"/>
      <c r="G209" s="23"/>
    </row>
    <row r="210" spans="1:7" x14ac:dyDescent="0.3">
      <c r="A210" s="15">
        <v>46</v>
      </c>
      <c r="B210" s="16">
        <f>INDEX('Weekly plan'!$C:$C,MATCH(A210,'Weekly plan'!$A:$A,0))</f>
        <v>46622</v>
      </c>
      <c r="C210" s="15" t="str">
        <f>INDEX('Weekly plan'!$D:$D,MATCH(A210,'Weekly plan'!$A:$A,0))</f>
        <v>Phase 2 · New segments</v>
      </c>
      <c r="D210" s="15" t="s">
        <v>44</v>
      </c>
      <c r="E210" s="15" t="s">
        <v>356</v>
      </c>
      <c r="F210" s="22"/>
      <c r="G210" s="23"/>
    </row>
    <row r="211" spans="1:7" x14ac:dyDescent="0.3">
      <c r="A211" s="15">
        <v>46</v>
      </c>
      <c r="B211" s="16">
        <f>INDEX('Weekly plan'!$C:$C,MATCH(A211,'Weekly plan'!$A:$A,0))</f>
        <v>46622</v>
      </c>
      <c r="C211" s="15" t="str">
        <f>INDEX('Weekly plan'!$D:$D,MATCH(A211,'Weekly plan'!$A:$A,0))</f>
        <v>Phase 2 · New segments</v>
      </c>
      <c r="D211" s="15" t="s">
        <v>22</v>
      </c>
      <c r="E211" s="15" t="s">
        <v>236</v>
      </c>
      <c r="F211" s="22"/>
      <c r="G211" s="23"/>
    </row>
    <row r="212" spans="1:7" x14ac:dyDescent="0.3">
      <c r="A212" s="15">
        <v>47</v>
      </c>
      <c r="B212" s="16">
        <f>INDEX('Weekly plan'!$C:$C,MATCH(A212,'Weekly plan'!$A:$A,0))</f>
        <v>46629</v>
      </c>
      <c r="C212" s="15" t="str">
        <f>INDEX('Weekly plan'!$D:$D,MATCH(A212,'Weekly plan'!$A:$A,0))</f>
        <v>Phase 2 · New segments</v>
      </c>
      <c r="D212" s="15" t="s">
        <v>42</v>
      </c>
      <c r="E212" s="15" t="s">
        <v>331</v>
      </c>
      <c r="F212" s="22"/>
      <c r="G212" s="23"/>
    </row>
    <row r="213" spans="1:7" x14ac:dyDescent="0.3">
      <c r="A213" s="15">
        <v>47</v>
      </c>
      <c r="B213" s="16">
        <f>INDEX('Weekly plan'!$C:$C,MATCH(A213,'Weekly plan'!$A:$A,0))</f>
        <v>46629</v>
      </c>
      <c r="C213" s="15" t="str">
        <f>INDEX('Weekly plan'!$D:$D,MATCH(A213,'Weekly plan'!$A:$A,0))</f>
        <v>Phase 2 · New segments</v>
      </c>
      <c r="D213" s="15" t="s">
        <v>43</v>
      </c>
      <c r="E213" s="15" t="s">
        <v>332</v>
      </c>
      <c r="F213" s="22"/>
      <c r="G213" s="23"/>
    </row>
    <row r="214" spans="1:7" x14ac:dyDescent="0.3">
      <c r="A214" s="15">
        <v>47</v>
      </c>
      <c r="B214" s="16">
        <f>INDEX('Weekly plan'!$C:$C,MATCH(A214,'Weekly plan'!$A:$A,0))</f>
        <v>46629</v>
      </c>
      <c r="C214" s="15" t="str">
        <f>INDEX('Weekly plan'!$D:$D,MATCH(A214,'Weekly plan'!$A:$A,0))</f>
        <v>Phase 2 · New segments</v>
      </c>
      <c r="D214" s="15" t="s">
        <v>348</v>
      </c>
      <c r="E214" s="15" t="s">
        <v>360</v>
      </c>
      <c r="F214" s="22"/>
      <c r="G214" s="23"/>
    </row>
    <row r="215" spans="1:7" x14ac:dyDescent="0.3">
      <c r="A215" s="15">
        <v>47</v>
      </c>
      <c r="B215" s="16">
        <f>INDEX('Weekly plan'!$C:$C,MATCH(A215,'Weekly plan'!$A:$A,0))</f>
        <v>46629</v>
      </c>
      <c r="C215" s="15" t="str">
        <f>INDEX('Weekly plan'!$D:$D,MATCH(A215,'Weekly plan'!$A:$A,0))</f>
        <v>Phase 2 · New segments</v>
      </c>
      <c r="D215" s="15" t="s">
        <v>22</v>
      </c>
      <c r="E215" s="15" t="s">
        <v>236</v>
      </c>
      <c r="F215" s="22"/>
      <c r="G215" s="23"/>
    </row>
    <row r="216" spans="1:7" x14ac:dyDescent="0.3">
      <c r="A216" s="15">
        <v>48</v>
      </c>
      <c r="B216" s="16">
        <f>INDEX('Weekly plan'!$C:$C,MATCH(A216,'Weekly plan'!$A:$A,0))</f>
        <v>46636</v>
      </c>
      <c r="C216" s="15" t="str">
        <f>INDEX('Weekly plan'!$D:$D,MATCH(A216,'Weekly plan'!$A:$A,0))</f>
        <v>Phase 2 · New segments</v>
      </c>
      <c r="D216" s="15" t="s">
        <v>42</v>
      </c>
      <c r="E216" s="15" t="s">
        <v>331</v>
      </c>
      <c r="F216" s="22"/>
      <c r="G216" s="23"/>
    </row>
    <row r="217" spans="1:7" x14ac:dyDescent="0.3">
      <c r="A217" s="15">
        <v>48</v>
      </c>
      <c r="B217" s="16">
        <f>INDEX('Weekly plan'!$C:$C,MATCH(A217,'Weekly plan'!$A:$A,0))</f>
        <v>46636</v>
      </c>
      <c r="C217" s="15" t="str">
        <f>INDEX('Weekly plan'!$D:$D,MATCH(A217,'Weekly plan'!$A:$A,0))</f>
        <v>Phase 2 · New segments</v>
      </c>
      <c r="D217" s="15" t="s">
        <v>43</v>
      </c>
      <c r="E217" s="15" t="s">
        <v>332</v>
      </c>
      <c r="F217" s="22"/>
      <c r="G217" s="23"/>
    </row>
    <row r="218" spans="1:7" x14ac:dyDescent="0.3">
      <c r="A218" s="15">
        <v>48</v>
      </c>
      <c r="B218" s="16">
        <f>INDEX('Weekly plan'!$C:$C,MATCH(A218,'Weekly plan'!$A:$A,0))</f>
        <v>46636</v>
      </c>
      <c r="C218" s="15" t="str">
        <f>INDEX('Weekly plan'!$D:$D,MATCH(A218,'Weekly plan'!$A:$A,0))</f>
        <v>Phase 2 · New segments</v>
      </c>
      <c r="D218" s="15" t="s">
        <v>214</v>
      </c>
      <c r="E218" s="15" t="s">
        <v>361</v>
      </c>
      <c r="F218" s="22"/>
      <c r="G218" s="23"/>
    </row>
    <row r="219" spans="1:7" x14ac:dyDescent="0.3">
      <c r="A219" s="15">
        <v>48</v>
      </c>
      <c r="B219" s="16">
        <f>INDEX('Weekly plan'!$C:$C,MATCH(A219,'Weekly plan'!$A:$A,0))</f>
        <v>46636</v>
      </c>
      <c r="C219" s="15" t="str">
        <f>INDEX('Weekly plan'!$D:$D,MATCH(A219,'Weekly plan'!$A:$A,0))</f>
        <v>Phase 2 · New segments</v>
      </c>
      <c r="D219" s="15" t="s">
        <v>22</v>
      </c>
      <c r="E219" s="15" t="s">
        <v>236</v>
      </c>
      <c r="F219" s="22"/>
      <c r="G219" s="23"/>
    </row>
    <row r="220" spans="1:7" x14ac:dyDescent="0.3">
      <c r="A220" s="15">
        <v>49</v>
      </c>
      <c r="B220" s="16">
        <f>INDEX('Weekly plan'!$C:$C,MATCH(A220,'Weekly plan'!$A:$A,0))</f>
        <v>46643</v>
      </c>
      <c r="C220" s="15" t="str">
        <f>INDEX('Weekly plan'!$D:$D,MATCH(A220,'Weekly plan'!$A:$A,0))</f>
        <v>Phase 2 · New segments</v>
      </c>
      <c r="D220" s="15" t="s">
        <v>42</v>
      </c>
      <c r="E220" s="15" t="s">
        <v>331</v>
      </c>
      <c r="F220" s="22"/>
      <c r="G220" s="23"/>
    </row>
    <row r="221" spans="1:7" x14ac:dyDescent="0.3">
      <c r="A221" s="15">
        <v>49</v>
      </c>
      <c r="B221" s="16">
        <f>INDEX('Weekly plan'!$C:$C,MATCH(A221,'Weekly plan'!$A:$A,0))</f>
        <v>46643</v>
      </c>
      <c r="C221" s="15" t="str">
        <f>INDEX('Weekly plan'!$D:$D,MATCH(A221,'Weekly plan'!$A:$A,0))</f>
        <v>Phase 2 · New segments</v>
      </c>
      <c r="D221" s="15" t="s">
        <v>43</v>
      </c>
      <c r="E221" s="15" t="s">
        <v>332</v>
      </c>
      <c r="F221" s="22"/>
      <c r="G221" s="23"/>
    </row>
    <row r="222" spans="1:7" x14ac:dyDescent="0.3">
      <c r="A222" s="15">
        <v>49</v>
      </c>
      <c r="B222" s="16">
        <f>INDEX('Weekly plan'!$C:$C,MATCH(A222,'Weekly plan'!$A:$A,0))</f>
        <v>46643</v>
      </c>
      <c r="C222" s="15" t="str">
        <f>INDEX('Weekly plan'!$D:$D,MATCH(A222,'Weekly plan'!$A:$A,0))</f>
        <v>Phase 2 · New segments</v>
      </c>
      <c r="D222" s="15" t="s">
        <v>44</v>
      </c>
      <c r="E222" s="15" t="s">
        <v>362</v>
      </c>
      <c r="F222" s="22"/>
      <c r="G222" s="23"/>
    </row>
    <row r="223" spans="1:7" x14ac:dyDescent="0.3">
      <c r="A223" s="15">
        <v>49</v>
      </c>
      <c r="B223" s="16">
        <f>INDEX('Weekly plan'!$C:$C,MATCH(A223,'Weekly plan'!$A:$A,0))</f>
        <v>46643</v>
      </c>
      <c r="C223" s="15" t="str">
        <f>INDEX('Weekly plan'!$D:$D,MATCH(A223,'Weekly plan'!$A:$A,0))</f>
        <v>Phase 2 · New segments</v>
      </c>
      <c r="D223" s="15" t="s">
        <v>45</v>
      </c>
      <c r="E223" s="15" t="s">
        <v>363</v>
      </c>
      <c r="F223" s="22"/>
      <c r="G223" s="23"/>
    </row>
    <row r="224" spans="1:7" x14ac:dyDescent="0.3">
      <c r="A224" s="15">
        <v>49</v>
      </c>
      <c r="B224" s="16">
        <f>INDEX('Weekly plan'!$C:$C,MATCH(A224,'Weekly plan'!$A:$A,0))</f>
        <v>46643</v>
      </c>
      <c r="C224" s="15" t="str">
        <f>INDEX('Weekly plan'!$D:$D,MATCH(A224,'Weekly plan'!$A:$A,0))</f>
        <v>Phase 2 · New segments</v>
      </c>
      <c r="D224" s="15" t="s">
        <v>22</v>
      </c>
      <c r="E224" s="15" t="s">
        <v>236</v>
      </c>
      <c r="F224" s="22"/>
      <c r="G224" s="23"/>
    </row>
    <row r="225" spans="1:7" x14ac:dyDescent="0.3">
      <c r="A225" s="15">
        <v>50</v>
      </c>
      <c r="B225" s="16">
        <f>INDEX('Weekly plan'!$C:$C,MATCH(A225,'Weekly plan'!$A:$A,0))</f>
        <v>46650</v>
      </c>
      <c r="C225" s="15" t="str">
        <f>INDEX('Weekly plan'!$D:$D,MATCH(A225,'Weekly plan'!$A:$A,0))</f>
        <v>Phase 2 · New segments</v>
      </c>
      <c r="D225" s="15" t="s">
        <v>42</v>
      </c>
      <c r="E225" s="15" t="s">
        <v>331</v>
      </c>
      <c r="F225" s="22"/>
      <c r="G225" s="23"/>
    </row>
    <row r="226" spans="1:7" x14ac:dyDescent="0.3">
      <c r="A226" s="15">
        <v>50</v>
      </c>
      <c r="B226" s="16">
        <f>INDEX('Weekly plan'!$C:$C,MATCH(A226,'Weekly plan'!$A:$A,0))</f>
        <v>46650</v>
      </c>
      <c r="C226" s="15" t="str">
        <f>INDEX('Weekly plan'!$D:$D,MATCH(A226,'Weekly plan'!$A:$A,0))</f>
        <v>Phase 2 · New segments</v>
      </c>
      <c r="D226" s="15" t="s">
        <v>43</v>
      </c>
      <c r="E226" s="15" t="s">
        <v>332</v>
      </c>
      <c r="F226" s="22"/>
      <c r="G226" s="23"/>
    </row>
    <row r="227" spans="1:7" x14ac:dyDescent="0.3">
      <c r="A227" s="15">
        <v>50</v>
      </c>
      <c r="B227" s="16">
        <f>INDEX('Weekly plan'!$C:$C,MATCH(A227,'Weekly plan'!$A:$A,0))</f>
        <v>46650</v>
      </c>
      <c r="C227" s="15" t="str">
        <f>INDEX('Weekly plan'!$D:$D,MATCH(A227,'Weekly plan'!$A:$A,0))</f>
        <v>Phase 2 · New segments</v>
      </c>
      <c r="D227" s="15" t="s">
        <v>219</v>
      </c>
      <c r="E227" s="15" t="s">
        <v>364</v>
      </c>
      <c r="F227" s="22"/>
      <c r="G227" s="23"/>
    </row>
    <row r="228" spans="1:7" x14ac:dyDescent="0.3">
      <c r="A228" s="15">
        <v>50</v>
      </c>
      <c r="B228" s="16">
        <f>INDEX('Weekly plan'!$C:$C,MATCH(A228,'Weekly plan'!$A:$A,0))</f>
        <v>46650</v>
      </c>
      <c r="C228" s="15" t="str">
        <f>INDEX('Weekly plan'!$D:$D,MATCH(A228,'Weekly plan'!$A:$A,0))</f>
        <v>Phase 2 · New segments</v>
      </c>
      <c r="D228" s="15" t="s">
        <v>22</v>
      </c>
      <c r="E228" s="15" t="s">
        <v>236</v>
      </c>
      <c r="F228" s="22"/>
      <c r="G228" s="23"/>
    </row>
    <row r="229" spans="1:7" x14ac:dyDescent="0.3">
      <c r="A229" s="15">
        <v>51</v>
      </c>
      <c r="B229" s="16">
        <f>INDEX('Weekly plan'!$C:$C,MATCH(A229,'Weekly plan'!$A:$A,0))</f>
        <v>46657</v>
      </c>
      <c r="C229" s="15" t="str">
        <f>INDEX('Weekly plan'!$D:$D,MATCH(A229,'Weekly plan'!$A:$A,0))</f>
        <v>Phase 2 · New segments</v>
      </c>
      <c r="D229" s="15" t="s">
        <v>42</v>
      </c>
      <c r="E229" s="15" t="s">
        <v>331</v>
      </c>
      <c r="F229" s="22"/>
      <c r="G229" s="23"/>
    </row>
    <row r="230" spans="1:7" x14ac:dyDescent="0.3">
      <c r="A230" s="15">
        <v>51</v>
      </c>
      <c r="B230" s="16">
        <f>INDEX('Weekly plan'!$C:$C,MATCH(A230,'Weekly plan'!$A:$A,0))</f>
        <v>46657</v>
      </c>
      <c r="C230" s="15" t="str">
        <f>INDEX('Weekly plan'!$D:$D,MATCH(A230,'Weekly plan'!$A:$A,0))</f>
        <v>Phase 2 · New segments</v>
      </c>
      <c r="D230" s="15" t="s">
        <v>43</v>
      </c>
      <c r="E230" s="15" t="s">
        <v>332</v>
      </c>
      <c r="F230" s="22"/>
      <c r="G230" s="23"/>
    </row>
    <row r="231" spans="1:7" x14ac:dyDescent="0.3">
      <c r="A231" s="15">
        <v>51</v>
      </c>
      <c r="B231" s="16">
        <f>INDEX('Weekly plan'!$C:$C,MATCH(A231,'Weekly plan'!$A:$A,0))</f>
        <v>46657</v>
      </c>
      <c r="C231" s="15" t="str">
        <f>INDEX('Weekly plan'!$D:$D,MATCH(A231,'Weekly plan'!$A:$A,0))</f>
        <v>Phase 2 · New segments</v>
      </c>
      <c r="D231" s="15" t="s">
        <v>188</v>
      </c>
      <c r="E231" s="15" t="s">
        <v>365</v>
      </c>
      <c r="F231" s="22"/>
      <c r="G231" s="23"/>
    </row>
    <row r="232" spans="1:7" x14ac:dyDescent="0.3">
      <c r="A232" s="15">
        <v>51</v>
      </c>
      <c r="B232" s="16">
        <f>INDEX('Weekly plan'!$C:$C,MATCH(A232,'Weekly plan'!$A:$A,0))</f>
        <v>46657</v>
      </c>
      <c r="C232" s="15" t="str">
        <f>INDEX('Weekly plan'!$D:$D,MATCH(A232,'Weekly plan'!$A:$A,0))</f>
        <v>Phase 2 · New segments</v>
      </c>
      <c r="D232" s="15" t="s">
        <v>22</v>
      </c>
      <c r="E232" s="15" t="s">
        <v>236</v>
      </c>
      <c r="F232" s="22"/>
      <c r="G232" s="23"/>
    </row>
    <row r="233" spans="1:7" x14ac:dyDescent="0.3">
      <c r="A233" s="15">
        <v>52</v>
      </c>
      <c r="B233" s="16">
        <f>INDEX('Weekly plan'!$C:$C,MATCH(A233,'Weekly plan'!$A:$A,0))</f>
        <v>46664</v>
      </c>
      <c r="C233" s="15" t="str">
        <f>INDEX('Weekly plan'!$D:$D,MATCH(A233,'Weekly plan'!$A:$A,0))</f>
        <v>Phase 2 · New segments</v>
      </c>
      <c r="D233" s="15" t="s">
        <v>42</v>
      </c>
      <c r="E233" s="15" t="s">
        <v>331</v>
      </c>
      <c r="F233" s="22"/>
      <c r="G233" s="23"/>
    </row>
    <row r="234" spans="1:7" x14ac:dyDescent="0.3">
      <c r="A234" s="15">
        <v>52</v>
      </c>
      <c r="B234" s="16">
        <f>INDEX('Weekly plan'!$C:$C,MATCH(A234,'Weekly plan'!$A:$A,0))</f>
        <v>46664</v>
      </c>
      <c r="C234" s="15" t="str">
        <f>INDEX('Weekly plan'!$D:$D,MATCH(A234,'Weekly plan'!$A:$A,0))</f>
        <v>Phase 2 · New segments</v>
      </c>
      <c r="D234" s="15" t="s">
        <v>43</v>
      </c>
      <c r="E234" s="15" t="s">
        <v>332</v>
      </c>
      <c r="F234" s="22"/>
      <c r="G234" s="23"/>
    </row>
    <row r="235" spans="1:7" x14ac:dyDescent="0.3">
      <c r="A235" s="15">
        <v>52</v>
      </c>
      <c r="B235" s="16">
        <f>INDEX('Weekly plan'!$C:$C,MATCH(A235,'Weekly plan'!$A:$A,0))</f>
        <v>46664</v>
      </c>
      <c r="C235" s="15" t="str">
        <f>INDEX('Weekly plan'!$D:$D,MATCH(A235,'Weekly plan'!$A:$A,0))</f>
        <v>Phase 2 · New segments</v>
      </c>
      <c r="D235" s="15" t="s">
        <v>246</v>
      </c>
      <c r="E235" s="15" t="s">
        <v>366</v>
      </c>
      <c r="F235" s="22"/>
      <c r="G235" s="23"/>
    </row>
    <row r="236" spans="1:7" x14ac:dyDescent="0.3">
      <c r="A236" s="15">
        <v>52</v>
      </c>
      <c r="B236" s="16">
        <f>INDEX('Weekly plan'!$C:$C,MATCH(A236,'Weekly plan'!$A:$A,0))</f>
        <v>46664</v>
      </c>
      <c r="C236" s="15" t="str">
        <f>INDEX('Weekly plan'!$D:$D,MATCH(A236,'Weekly plan'!$A:$A,0))</f>
        <v>Phase 2 · New segments</v>
      </c>
      <c r="D236" s="15" t="s">
        <v>22</v>
      </c>
      <c r="E236" s="15" t="s">
        <v>236</v>
      </c>
      <c r="F236" s="22"/>
      <c r="G236" s="23"/>
    </row>
  </sheetData>
  <autoFilter ref="A4:G236" xr:uid="{00000000-0009-0000-0000-000002000000}"/>
  <conditionalFormatting sqref="A5:E236">
    <cfRule type="expression" dxfId="5" priority="1">
      <formula>$F5="✓"</formula>
    </cfRule>
    <cfRule type="expression" dxfId="4" priority="2">
      <formula>AND($F5&lt;&gt;"✓",$B5+6&lt;TODAY())</formula>
    </cfRule>
  </conditionalFormatting>
  <dataValidations count="1">
    <dataValidation type="list" allowBlank="1" showErrorMessage="1" errorTitle="Done?" error="Pick ✓ from the list, or leave the cell empty." sqref="F5:F236" xr:uid="{00000000-0002-0000-0200-000000000000}">
      <formula1>"✓"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3" width="14" customWidth="1"/>
    <col min="4" max="4" width="13" customWidth="1"/>
    <col min="5" max="5" width="14" customWidth="1"/>
    <col min="6" max="6" width="16" customWidth="1"/>
    <col min="7" max="7" width="15" customWidth="1"/>
    <col min="8" max="11" width="13" customWidth="1"/>
    <col min="12" max="12" width="40" customWidth="1"/>
  </cols>
  <sheetData>
    <row r="1" spans="1:12" ht="21" x14ac:dyDescent="0.4">
      <c r="A1" s="1" t="s">
        <v>14</v>
      </c>
    </row>
    <row r="2" spans="1:12" x14ac:dyDescent="0.3">
      <c r="A2" s="2" t="s">
        <v>367</v>
      </c>
    </row>
    <row r="4" spans="1:12" ht="30" customHeight="1" x14ac:dyDescent="0.3">
      <c r="A4" s="14" t="s">
        <v>36</v>
      </c>
      <c r="B4" s="14" t="s">
        <v>38</v>
      </c>
      <c r="C4" s="14" t="s">
        <v>368</v>
      </c>
      <c r="D4" s="14" t="s">
        <v>369</v>
      </c>
      <c r="E4" s="14" t="s">
        <v>370</v>
      </c>
      <c r="F4" s="14" t="s">
        <v>371</v>
      </c>
      <c r="G4" s="14" t="s">
        <v>372</v>
      </c>
      <c r="H4" s="14" t="s">
        <v>373</v>
      </c>
      <c r="I4" s="14" t="s">
        <v>374</v>
      </c>
      <c r="J4" s="14" t="s">
        <v>375</v>
      </c>
      <c r="K4" s="14" t="s">
        <v>376</v>
      </c>
      <c r="L4" s="14" t="s">
        <v>228</v>
      </c>
    </row>
    <row r="5" spans="1:12" x14ac:dyDescent="0.3">
      <c r="A5" s="24" t="s">
        <v>377</v>
      </c>
      <c r="B5" s="25"/>
      <c r="C5" s="24">
        <v>6</v>
      </c>
      <c r="D5" s="26">
        <v>0.75</v>
      </c>
      <c r="E5" s="24">
        <v>1</v>
      </c>
      <c r="F5" s="25"/>
      <c r="G5" s="24">
        <v>4</v>
      </c>
      <c r="H5" s="24">
        <v>23</v>
      </c>
      <c r="I5" s="25"/>
      <c r="J5" s="25"/>
      <c r="K5" s="25"/>
      <c r="L5" s="24" t="s">
        <v>378</v>
      </c>
    </row>
    <row r="6" spans="1:12" x14ac:dyDescent="0.3">
      <c r="A6" s="6">
        <v>1</v>
      </c>
      <c r="B6" s="27">
        <f>INDEX('Weekly plan'!$C:$C,MATCH(A6,'Weekly plan'!$A:$A,0))</f>
        <v>46307</v>
      </c>
      <c r="C6" s="23"/>
      <c r="D6" s="28"/>
      <c r="E6" s="23"/>
      <c r="F6" s="23"/>
      <c r="G6" s="23"/>
      <c r="H6" s="23"/>
      <c r="I6" s="23"/>
      <c r="J6" s="23"/>
      <c r="K6" s="23"/>
      <c r="L6" s="23"/>
    </row>
    <row r="7" spans="1:12" x14ac:dyDescent="0.3">
      <c r="A7" s="6">
        <v>2</v>
      </c>
      <c r="B7" s="27">
        <f>INDEX('Weekly plan'!$C:$C,MATCH(A7,'Weekly plan'!$A:$A,0))</f>
        <v>46314</v>
      </c>
      <c r="C7" s="23"/>
      <c r="D7" s="28"/>
      <c r="E7" s="23"/>
      <c r="F7" s="23"/>
      <c r="G7" s="23"/>
      <c r="H7" s="23"/>
      <c r="I7" s="23"/>
      <c r="J7" s="23"/>
      <c r="K7" s="23"/>
      <c r="L7" s="23"/>
    </row>
    <row r="8" spans="1:12" x14ac:dyDescent="0.3">
      <c r="A8" s="6">
        <v>3</v>
      </c>
      <c r="B8" s="27">
        <f>INDEX('Weekly plan'!$C:$C,MATCH(A8,'Weekly plan'!$A:$A,0))</f>
        <v>46321</v>
      </c>
      <c r="C8" s="23"/>
      <c r="D8" s="28"/>
      <c r="E8" s="23"/>
      <c r="F8" s="23"/>
      <c r="G8" s="23"/>
      <c r="H8" s="23"/>
      <c r="I8" s="23"/>
      <c r="J8" s="23"/>
      <c r="K8" s="23"/>
      <c r="L8" s="23"/>
    </row>
    <row r="9" spans="1:12" x14ac:dyDescent="0.3">
      <c r="A9" s="6">
        <v>4</v>
      </c>
      <c r="B9" s="27">
        <f>INDEX('Weekly plan'!$C:$C,MATCH(A9,'Weekly plan'!$A:$A,0))</f>
        <v>46328</v>
      </c>
      <c r="C9" s="23"/>
      <c r="D9" s="28"/>
      <c r="E9" s="23"/>
      <c r="F9" s="23"/>
      <c r="G9" s="23"/>
      <c r="H9" s="23"/>
      <c r="I9" s="23"/>
      <c r="J9" s="23"/>
      <c r="K9" s="23"/>
      <c r="L9" s="23"/>
    </row>
    <row r="10" spans="1:12" x14ac:dyDescent="0.3">
      <c r="A10" s="6">
        <v>5</v>
      </c>
      <c r="B10" s="27">
        <f>INDEX('Weekly plan'!$C:$C,MATCH(A10,'Weekly plan'!$A:$A,0))</f>
        <v>46335</v>
      </c>
      <c r="C10" s="23"/>
      <c r="D10" s="28"/>
      <c r="E10" s="23"/>
      <c r="F10" s="23"/>
      <c r="G10" s="23"/>
      <c r="H10" s="23"/>
      <c r="I10" s="23"/>
      <c r="J10" s="23"/>
      <c r="K10" s="23"/>
      <c r="L10" s="23"/>
    </row>
    <row r="11" spans="1:12" x14ac:dyDescent="0.3">
      <c r="A11" s="6">
        <v>6</v>
      </c>
      <c r="B11" s="27">
        <f>INDEX('Weekly plan'!$C:$C,MATCH(A11,'Weekly plan'!$A:$A,0))</f>
        <v>46342</v>
      </c>
      <c r="C11" s="23"/>
      <c r="D11" s="28"/>
      <c r="E11" s="23"/>
      <c r="F11" s="23"/>
      <c r="G11" s="23"/>
      <c r="H11" s="23"/>
      <c r="I11" s="23"/>
      <c r="J11" s="23"/>
      <c r="K11" s="23"/>
      <c r="L11" s="23"/>
    </row>
    <row r="12" spans="1:12" x14ac:dyDescent="0.3">
      <c r="A12" s="6">
        <v>7</v>
      </c>
      <c r="B12" s="27">
        <f>INDEX('Weekly plan'!$C:$C,MATCH(A12,'Weekly plan'!$A:$A,0))</f>
        <v>46349</v>
      </c>
      <c r="C12" s="23"/>
      <c r="D12" s="28"/>
      <c r="E12" s="23"/>
      <c r="F12" s="23"/>
      <c r="G12" s="23"/>
      <c r="H12" s="23"/>
      <c r="I12" s="23"/>
      <c r="J12" s="23"/>
      <c r="K12" s="23"/>
      <c r="L12" s="23"/>
    </row>
    <row r="13" spans="1:12" x14ac:dyDescent="0.3">
      <c r="A13" s="6">
        <v>8</v>
      </c>
      <c r="B13" s="27">
        <f>INDEX('Weekly plan'!$C:$C,MATCH(A13,'Weekly plan'!$A:$A,0))</f>
        <v>46356</v>
      </c>
      <c r="C13" s="23"/>
      <c r="D13" s="28"/>
      <c r="E13" s="23"/>
      <c r="F13" s="23"/>
      <c r="G13" s="23"/>
      <c r="H13" s="23"/>
      <c r="I13" s="23"/>
      <c r="J13" s="23"/>
      <c r="K13" s="23"/>
      <c r="L13" s="23"/>
    </row>
    <row r="14" spans="1:12" x14ac:dyDescent="0.3">
      <c r="A14" s="6">
        <v>9</v>
      </c>
      <c r="B14" s="27">
        <f>INDEX('Weekly plan'!$C:$C,MATCH(A14,'Weekly plan'!$A:$A,0))</f>
        <v>46363</v>
      </c>
      <c r="C14" s="23"/>
      <c r="D14" s="28"/>
      <c r="E14" s="23"/>
      <c r="F14" s="23"/>
      <c r="G14" s="23"/>
      <c r="H14" s="23"/>
      <c r="I14" s="23"/>
      <c r="J14" s="23"/>
      <c r="K14" s="23"/>
      <c r="L14" s="23"/>
    </row>
    <row r="15" spans="1:12" x14ac:dyDescent="0.3">
      <c r="A15" s="6">
        <v>10</v>
      </c>
      <c r="B15" s="27">
        <f>INDEX('Weekly plan'!$C:$C,MATCH(A15,'Weekly plan'!$A:$A,0))</f>
        <v>46370</v>
      </c>
      <c r="C15" s="23"/>
      <c r="D15" s="28"/>
      <c r="E15" s="23"/>
      <c r="F15" s="23"/>
      <c r="G15" s="23"/>
      <c r="H15" s="23"/>
      <c r="I15" s="23"/>
      <c r="J15" s="23"/>
      <c r="K15" s="23"/>
      <c r="L15" s="23"/>
    </row>
    <row r="16" spans="1:12" x14ac:dyDescent="0.3">
      <c r="A16" s="6">
        <v>11</v>
      </c>
      <c r="B16" s="27">
        <f>INDEX('Weekly plan'!$C:$C,MATCH(A16,'Weekly plan'!$A:$A,0))</f>
        <v>46377</v>
      </c>
      <c r="C16" s="23"/>
      <c r="D16" s="28"/>
      <c r="E16" s="23"/>
      <c r="F16" s="23"/>
      <c r="G16" s="23"/>
      <c r="H16" s="23"/>
      <c r="I16" s="23"/>
      <c r="J16" s="23"/>
      <c r="K16" s="23"/>
      <c r="L16" s="23"/>
    </row>
    <row r="17" spans="1:12" x14ac:dyDescent="0.3">
      <c r="A17" s="6">
        <v>12</v>
      </c>
      <c r="B17" s="27">
        <f>INDEX('Weekly plan'!$C:$C,MATCH(A17,'Weekly plan'!$A:$A,0))</f>
        <v>46384</v>
      </c>
      <c r="C17" s="23"/>
      <c r="D17" s="28"/>
      <c r="E17" s="23"/>
      <c r="F17" s="23"/>
      <c r="G17" s="23"/>
      <c r="H17" s="23"/>
      <c r="I17" s="23"/>
      <c r="J17" s="23"/>
      <c r="K17" s="23"/>
      <c r="L17" s="23"/>
    </row>
    <row r="18" spans="1:12" x14ac:dyDescent="0.3">
      <c r="A18" s="6">
        <v>13</v>
      </c>
      <c r="B18" s="27">
        <f>INDEX('Weekly plan'!$C:$C,MATCH(A18,'Weekly plan'!$A:$A,0))</f>
        <v>46391</v>
      </c>
      <c r="C18" s="23"/>
      <c r="D18" s="28"/>
      <c r="E18" s="23"/>
      <c r="F18" s="23"/>
      <c r="G18" s="23"/>
      <c r="H18" s="23"/>
      <c r="I18" s="23"/>
      <c r="J18" s="23"/>
      <c r="K18" s="23"/>
      <c r="L18" s="23"/>
    </row>
    <row r="19" spans="1:12" x14ac:dyDescent="0.3">
      <c r="A19" s="6">
        <v>14</v>
      </c>
      <c r="B19" s="27">
        <f>INDEX('Weekly plan'!$C:$C,MATCH(A19,'Weekly plan'!$A:$A,0))</f>
        <v>46398</v>
      </c>
      <c r="C19" s="23"/>
      <c r="D19" s="28"/>
      <c r="E19" s="23"/>
      <c r="F19" s="23"/>
      <c r="G19" s="23"/>
      <c r="H19" s="23"/>
      <c r="I19" s="23"/>
      <c r="J19" s="23"/>
      <c r="K19" s="23"/>
      <c r="L19" s="23"/>
    </row>
    <row r="20" spans="1:12" x14ac:dyDescent="0.3">
      <c r="A20" s="6">
        <v>15</v>
      </c>
      <c r="B20" s="27">
        <f>INDEX('Weekly plan'!$C:$C,MATCH(A20,'Weekly plan'!$A:$A,0))</f>
        <v>46405</v>
      </c>
      <c r="C20" s="23"/>
      <c r="D20" s="28"/>
      <c r="E20" s="23"/>
      <c r="F20" s="23"/>
      <c r="G20" s="23"/>
      <c r="H20" s="23"/>
      <c r="I20" s="23"/>
      <c r="J20" s="23"/>
      <c r="K20" s="23"/>
      <c r="L20" s="23"/>
    </row>
    <row r="21" spans="1:12" x14ac:dyDescent="0.3">
      <c r="A21" s="6">
        <v>16</v>
      </c>
      <c r="B21" s="27">
        <f>INDEX('Weekly plan'!$C:$C,MATCH(A21,'Weekly plan'!$A:$A,0))</f>
        <v>46412</v>
      </c>
      <c r="C21" s="23"/>
      <c r="D21" s="28"/>
      <c r="E21" s="23"/>
      <c r="F21" s="23"/>
      <c r="G21" s="23"/>
      <c r="H21" s="23"/>
      <c r="I21" s="23"/>
      <c r="J21" s="23"/>
      <c r="K21" s="23"/>
      <c r="L21" s="23"/>
    </row>
    <row r="22" spans="1:12" x14ac:dyDescent="0.3">
      <c r="A22" s="6">
        <v>17</v>
      </c>
      <c r="B22" s="27">
        <f>INDEX('Weekly plan'!$C:$C,MATCH(A22,'Weekly plan'!$A:$A,0))</f>
        <v>46419</v>
      </c>
      <c r="C22" s="23"/>
      <c r="D22" s="28"/>
      <c r="E22" s="23"/>
      <c r="F22" s="23"/>
      <c r="G22" s="23"/>
      <c r="H22" s="23"/>
      <c r="I22" s="23"/>
      <c r="J22" s="23"/>
      <c r="K22" s="23"/>
      <c r="L22" s="23"/>
    </row>
    <row r="23" spans="1:12" x14ac:dyDescent="0.3">
      <c r="A23" s="6">
        <v>18</v>
      </c>
      <c r="B23" s="27">
        <f>INDEX('Weekly plan'!$C:$C,MATCH(A23,'Weekly plan'!$A:$A,0))</f>
        <v>46426</v>
      </c>
      <c r="C23" s="23"/>
      <c r="D23" s="28"/>
      <c r="E23" s="23"/>
      <c r="F23" s="23"/>
      <c r="G23" s="23"/>
      <c r="H23" s="23"/>
      <c r="I23" s="23"/>
      <c r="J23" s="23"/>
      <c r="K23" s="23"/>
      <c r="L23" s="23"/>
    </row>
    <row r="24" spans="1:12" x14ac:dyDescent="0.3">
      <c r="A24" s="6">
        <v>19</v>
      </c>
      <c r="B24" s="27">
        <f>INDEX('Weekly plan'!$C:$C,MATCH(A24,'Weekly plan'!$A:$A,0))</f>
        <v>46433</v>
      </c>
      <c r="C24" s="23"/>
      <c r="D24" s="28"/>
      <c r="E24" s="23"/>
      <c r="F24" s="23"/>
      <c r="G24" s="23"/>
      <c r="H24" s="23"/>
      <c r="I24" s="23"/>
      <c r="J24" s="23"/>
      <c r="K24" s="23"/>
      <c r="L24" s="23"/>
    </row>
    <row r="25" spans="1:12" x14ac:dyDescent="0.3">
      <c r="A25" s="6">
        <v>20</v>
      </c>
      <c r="B25" s="27">
        <f>INDEX('Weekly plan'!$C:$C,MATCH(A25,'Weekly plan'!$A:$A,0))</f>
        <v>46440</v>
      </c>
      <c r="C25" s="23"/>
      <c r="D25" s="28"/>
      <c r="E25" s="23"/>
      <c r="F25" s="23"/>
      <c r="G25" s="23"/>
      <c r="H25" s="23"/>
      <c r="I25" s="23"/>
      <c r="J25" s="23"/>
      <c r="K25" s="23"/>
      <c r="L25" s="23"/>
    </row>
    <row r="26" spans="1:12" x14ac:dyDescent="0.3">
      <c r="A26" s="6">
        <v>21</v>
      </c>
      <c r="B26" s="27">
        <f>INDEX('Weekly plan'!$C:$C,MATCH(A26,'Weekly plan'!$A:$A,0))</f>
        <v>46447</v>
      </c>
      <c r="C26" s="23"/>
      <c r="D26" s="28"/>
      <c r="E26" s="23"/>
      <c r="F26" s="23"/>
      <c r="G26" s="23"/>
      <c r="H26" s="23"/>
      <c r="I26" s="23"/>
      <c r="J26" s="23"/>
      <c r="K26" s="23"/>
      <c r="L26" s="23"/>
    </row>
    <row r="27" spans="1:12" x14ac:dyDescent="0.3">
      <c r="A27" s="6">
        <v>22</v>
      </c>
      <c r="B27" s="27">
        <f>INDEX('Weekly plan'!$C:$C,MATCH(A27,'Weekly plan'!$A:$A,0))</f>
        <v>46454</v>
      </c>
      <c r="C27" s="23"/>
      <c r="D27" s="28"/>
      <c r="E27" s="23"/>
      <c r="F27" s="23"/>
      <c r="G27" s="23"/>
      <c r="H27" s="23"/>
      <c r="I27" s="23"/>
      <c r="J27" s="23"/>
      <c r="K27" s="23"/>
      <c r="L27" s="23"/>
    </row>
    <row r="28" spans="1:12" x14ac:dyDescent="0.3">
      <c r="A28" s="6">
        <v>23</v>
      </c>
      <c r="B28" s="27">
        <f>INDEX('Weekly plan'!$C:$C,MATCH(A28,'Weekly plan'!$A:$A,0))</f>
        <v>46461</v>
      </c>
      <c r="C28" s="23"/>
      <c r="D28" s="28"/>
      <c r="E28" s="23"/>
      <c r="F28" s="23"/>
      <c r="G28" s="23"/>
      <c r="H28" s="23"/>
      <c r="I28" s="23"/>
      <c r="J28" s="23"/>
      <c r="K28" s="23"/>
      <c r="L28" s="23"/>
    </row>
    <row r="29" spans="1:12" x14ac:dyDescent="0.3">
      <c r="A29" s="6">
        <v>24</v>
      </c>
      <c r="B29" s="27">
        <f>INDEX('Weekly plan'!$C:$C,MATCH(A29,'Weekly plan'!$A:$A,0))</f>
        <v>46468</v>
      </c>
      <c r="C29" s="23"/>
      <c r="D29" s="28"/>
      <c r="E29" s="23"/>
      <c r="F29" s="23"/>
      <c r="G29" s="23"/>
      <c r="H29" s="23"/>
      <c r="I29" s="23"/>
      <c r="J29" s="23"/>
      <c r="K29" s="23"/>
      <c r="L29" s="23"/>
    </row>
    <row r="30" spans="1:12" x14ac:dyDescent="0.3">
      <c r="A30" s="6">
        <v>25</v>
      </c>
      <c r="B30" s="27">
        <f>INDEX('Weekly plan'!$C:$C,MATCH(A30,'Weekly plan'!$A:$A,0))</f>
        <v>46475</v>
      </c>
      <c r="C30" s="23"/>
      <c r="D30" s="28"/>
      <c r="E30" s="23"/>
      <c r="F30" s="23"/>
      <c r="G30" s="23"/>
      <c r="H30" s="23"/>
      <c r="I30" s="23"/>
      <c r="J30" s="23"/>
      <c r="K30" s="23"/>
      <c r="L30" s="23"/>
    </row>
    <row r="31" spans="1:12" x14ac:dyDescent="0.3">
      <c r="A31" s="6">
        <v>26</v>
      </c>
      <c r="B31" s="27">
        <f>INDEX('Weekly plan'!$C:$C,MATCH(A31,'Weekly plan'!$A:$A,0))</f>
        <v>46482</v>
      </c>
      <c r="C31" s="23"/>
      <c r="D31" s="28"/>
      <c r="E31" s="23"/>
      <c r="F31" s="23"/>
      <c r="G31" s="23"/>
      <c r="H31" s="23"/>
      <c r="I31" s="23"/>
      <c r="J31" s="23"/>
      <c r="K31" s="23"/>
      <c r="L31" s="23"/>
    </row>
    <row r="32" spans="1:12" x14ac:dyDescent="0.3">
      <c r="A32" s="6">
        <v>27</v>
      </c>
      <c r="B32" s="27">
        <f>INDEX('Weekly plan'!$C:$C,MATCH(A32,'Weekly plan'!$A:$A,0))</f>
        <v>46489</v>
      </c>
      <c r="C32" s="23"/>
      <c r="D32" s="28"/>
      <c r="E32" s="23"/>
      <c r="F32" s="23"/>
      <c r="G32" s="23"/>
      <c r="H32" s="23"/>
      <c r="I32" s="23"/>
      <c r="J32" s="23"/>
      <c r="K32" s="23"/>
      <c r="L32" s="23"/>
    </row>
    <row r="33" spans="1:12" x14ac:dyDescent="0.3">
      <c r="A33" s="6">
        <v>28</v>
      </c>
      <c r="B33" s="27">
        <f>INDEX('Weekly plan'!$C:$C,MATCH(A33,'Weekly plan'!$A:$A,0))</f>
        <v>46496</v>
      </c>
      <c r="C33" s="23"/>
      <c r="D33" s="28"/>
      <c r="E33" s="23"/>
      <c r="F33" s="23"/>
      <c r="G33" s="23"/>
      <c r="H33" s="23"/>
      <c r="I33" s="23"/>
      <c r="J33" s="23"/>
      <c r="K33" s="23"/>
      <c r="L33" s="23"/>
    </row>
    <row r="34" spans="1:12" x14ac:dyDescent="0.3">
      <c r="A34" s="6">
        <v>29</v>
      </c>
      <c r="B34" s="27">
        <f>INDEX('Weekly plan'!$C:$C,MATCH(A34,'Weekly plan'!$A:$A,0))</f>
        <v>46503</v>
      </c>
      <c r="C34" s="23"/>
      <c r="D34" s="28"/>
      <c r="E34" s="23"/>
      <c r="F34" s="23"/>
      <c r="G34" s="23"/>
      <c r="H34" s="23"/>
      <c r="I34" s="23"/>
      <c r="J34" s="23"/>
      <c r="K34" s="23"/>
      <c r="L34" s="23"/>
    </row>
    <row r="35" spans="1:12" x14ac:dyDescent="0.3">
      <c r="A35" s="6">
        <v>30</v>
      </c>
      <c r="B35" s="27">
        <f>INDEX('Weekly plan'!$C:$C,MATCH(A35,'Weekly plan'!$A:$A,0))</f>
        <v>46510</v>
      </c>
      <c r="C35" s="23"/>
      <c r="D35" s="28"/>
      <c r="E35" s="23"/>
      <c r="F35" s="23"/>
      <c r="G35" s="23"/>
      <c r="H35" s="23"/>
      <c r="I35" s="23"/>
      <c r="J35" s="23"/>
      <c r="K35" s="23"/>
      <c r="L35" s="23"/>
    </row>
    <row r="36" spans="1:12" x14ac:dyDescent="0.3">
      <c r="A36" s="6">
        <v>31</v>
      </c>
      <c r="B36" s="27">
        <f>INDEX('Weekly plan'!$C:$C,MATCH(A36,'Weekly plan'!$A:$A,0))</f>
        <v>46517</v>
      </c>
      <c r="C36" s="23"/>
      <c r="D36" s="28"/>
      <c r="E36" s="23"/>
      <c r="F36" s="23"/>
      <c r="G36" s="23"/>
      <c r="H36" s="23"/>
      <c r="I36" s="23"/>
      <c r="J36" s="23"/>
      <c r="K36" s="23"/>
      <c r="L36" s="23"/>
    </row>
    <row r="37" spans="1:12" x14ac:dyDescent="0.3">
      <c r="A37" s="6">
        <v>32</v>
      </c>
      <c r="B37" s="27">
        <f>INDEX('Weekly plan'!$C:$C,MATCH(A37,'Weekly plan'!$A:$A,0))</f>
        <v>46524</v>
      </c>
      <c r="C37" s="23"/>
      <c r="D37" s="28"/>
      <c r="E37" s="23"/>
      <c r="F37" s="23"/>
      <c r="G37" s="23"/>
      <c r="H37" s="23"/>
      <c r="I37" s="23"/>
      <c r="J37" s="23"/>
      <c r="K37" s="23"/>
      <c r="L37" s="23"/>
    </row>
    <row r="38" spans="1:12" x14ac:dyDescent="0.3">
      <c r="A38" s="6">
        <v>33</v>
      </c>
      <c r="B38" s="27">
        <f>INDEX('Weekly plan'!$C:$C,MATCH(A38,'Weekly plan'!$A:$A,0))</f>
        <v>46531</v>
      </c>
      <c r="C38" s="23"/>
      <c r="D38" s="28"/>
      <c r="E38" s="23"/>
      <c r="F38" s="23"/>
      <c r="G38" s="23"/>
      <c r="H38" s="23"/>
      <c r="I38" s="23"/>
      <c r="J38" s="23"/>
      <c r="K38" s="23"/>
      <c r="L38" s="23"/>
    </row>
    <row r="39" spans="1:12" x14ac:dyDescent="0.3">
      <c r="A39" s="6">
        <v>34</v>
      </c>
      <c r="B39" s="27">
        <f>INDEX('Weekly plan'!$C:$C,MATCH(A39,'Weekly plan'!$A:$A,0))</f>
        <v>46538</v>
      </c>
      <c r="C39" s="23"/>
      <c r="D39" s="28"/>
      <c r="E39" s="23"/>
      <c r="F39" s="23"/>
      <c r="G39" s="23"/>
      <c r="H39" s="23"/>
      <c r="I39" s="23"/>
      <c r="J39" s="23"/>
      <c r="K39" s="23"/>
      <c r="L39" s="23"/>
    </row>
    <row r="40" spans="1:12" x14ac:dyDescent="0.3">
      <c r="A40" s="6">
        <v>35</v>
      </c>
      <c r="B40" s="27">
        <f>INDEX('Weekly plan'!$C:$C,MATCH(A40,'Weekly plan'!$A:$A,0))</f>
        <v>46545</v>
      </c>
      <c r="C40" s="23"/>
      <c r="D40" s="28"/>
      <c r="E40" s="23"/>
      <c r="F40" s="23"/>
      <c r="G40" s="23"/>
      <c r="H40" s="23"/>
      <c r="I40" s="23"/>
      <c r="J40" s="23"/>
      <c r="K40" s="23"/>
      <c r="L40" s="23"/>
    </row>
    <row r="41" spans="1:12" x14ac:dyDescent="0.3">
      <c r="A41" s="6">
        <v>36</v>
      </c>
      <c r="B41" s="27">
        <f>INDEX('Weekly plan'!$C:$C,MATCH(A41,'Weekly plan'!$A:$A,0))</f>
        <v>46552</v>
      </c>
      <c r="C41" s="23"/>
      <c r="D41" s="28"/>
      <c r="E41" s="23"/>
      <c r="F41" s="23"/>
      <c r="G41" s="23"/>
      <c r="H41" s="23"/>
      <c r="I41" s="23"/>
      <c r="J41" s="23"/>
      <c r="K41" s="23"/>
      <c r="L41" s="23"/>
    </row>
    <row r="42" spans="1:12" x14ac:dyDescent="0.3">
      <c r="A42" s="6">
        <v>37</v>
      </c>
      <c r="B42" s="27">
        <f>INDEX('Weekly plan'!$C:$C,MATCH(A42,'Weekly plan'!$A:$A,0))</f>
        <v>46559</v>
      </c>
      <c r="C42" s="23"/>
      <c r="D42" s="28"/>
      <c r="E42" s="23"/>
      <c r="F42" s="23"/>
      <c r="G42" s="23"/>
      <c r="H42" s="23"/>
      <c r="I42" s="23"/>
      <c r="J42" s="23"/>
      <c r="K42" s="23"/>
      <c r="L42" s="23"/>
    </row>
    <row r="43" spans="1:12" x14ac:dyDescent="0.3">
      <c r="A43" s="6">
        <v>38</v>
      </c>
      <c r="B43" s="27">
        <f>INDEX('Weekly plan'!$C:$C,MATCH(A43,'Weekly plan'!$A:$A,0))</f>
        <v>46566</v>
      </c>
      <c r="C43" s="23"/>
      <c r="D43" s="28"/>
      <c r="E43" s="23"/>
      <c r="F43" s="23"/>
      <c r="G43" s="23"/>
      <c r="H43" s="23"/>
      <c r="I43" s="23"/>
      <c r="J43" s="23"/>
      <c r="K43" s="23"/>
      <c r="L43" s="23"/>
    </row>
    <row r="44" spans="1:12" x14ac:dyDescent="0.3">
      <c r="A44" s="6">
        <v>39</v>
      </c>
      <c r="B44" s="27">
        <f>INDEX('Weekly plan'!$C:$C,MATCH(A44,'Weekly plan'!$A:$A,0))</f>
        <v>46573</v>
      </c>
      <c r="C44" s="23"/>
      <c r="D44" s="28"/>
      <c r="E44" s="23"/>
      <c r="F44" s="23"/>
      <c r="G44" s="23"/>
      <c r="H44" s="23"/>
      <c r="I44" s="23"/>
      <c r="J44" s="23"/>
      <c r="K44" s="23"/>
      <c r="L44" s="23"/>
    </row>
    <row r="45" spans="1:12" x14ac:dyDescent="0.3">
      <c r="A45" s="6">
        <v>40</v>
      </c>
      <c r="B45" s="27">
        <f>INDEX('Weekly plan'!$C:$C,MATCH(A45,'Weekly plan'!$A:$A,0))</f>
        <v>46580</v>
      </c>
      <c r="C45" s="23"/>
      <c r="D45" s="28"/>
      <c r="E45" s="23"/>
      <c r="F45" s="23"/>
      <c r="G45" s="23"/>
      <c r="H45" s="23"/>
      <c r="I45" s="23"/>
      <c r="J45" s="23"/>
      <c r="K45" s="23"/>
      <c r="L45" s="23"/>
    </row>
    <row r="46" spans="1:12" x14ac:dyDescent="0.3">
      <c r="A46" s="6">
        <v>41</v>
      </c>
      <c r="B46" s="27">
        <f>INDEX('Weekly plan'!$C:$C,MATCH(A46,'Weekly plan'!$A:$A,0))</f>
        <v>46587</v>
      </c>
      <c r="C46" s="23"/>
      <c r="D46" s="28"/>
      <c r="E46" s="23"/>
      <c r="F46" s="23"/>
      <c r="G46" s="23"/>
      <c r="H46" s="23"/>
      <c r="I46" s="23"/>
      <c r="J46" s="23"/>
      <c r="K46" s="23"/>
      <c r="L46" s="23"/>
    </row>
    <row r="47" spans="1:12" x14ac:dyDescent="0.3">
      <c r="A47" s="6">
        <v>42</v>
      </c>
      <c r="B47" s="27">
        <f>INDEX('Weekly plan'!$C:$C,MATCH(A47,'Weekly plan'!$A:$A,0))</f>
        <v>46594</v>
      </c>
      <c r="C47" s="23"/>
      <c r="D47" s="28"/>
      <c r="E47" s="23"/>
      <c r="F47" s="23"/>
      <c r="G47" s="23"/>
      <c r="H47" s="23"/>
      <c r="I47" s="23"/>
      <c r="J47" s="23"/>
      <c r="K47" s="23"/>
      <c r="L47" s="23"/>
    </row>
    <row r="48" spans="1:12" x14ac:dyDescent="0.3">
      <c r="A48" s="6">
        <v>43</v>
      </c>
      <c r="B48" s="27">
        <f>INDEX('Weekly plan'!$C:$C,MATCH(A48,'Weekly plan'!$A:$A,0))</f>
        <v>46601</v>
      </c>
      <c r="C48" s="23"/>
      <c r="D48" s="28"/>
      <c r="E48" s="23"/>
      <c r="F48" s="23"/>
      <c r="G48" s="23"/>
      <c r="H48" s="23"/>
      <c r="I48" s="23"/>
      <c r="J48" s="23"/>
      <c r="K48" s="23"/>
      <c r="L48" s="23"/>
    </row>
    <row r="49" spans="1:12" x14ac:dyDescent="0.3">
      <c r="A49" s="6">
        <v>44</v>
      </c>
      <c r="B49" s="27">
        <f>INDEX('Weekly plan'!$C:$C,MATCH(A49,'Weekly plan'!$A:$A,0))</f>
        <v>46608</v>
      </c>
      <c r="C49" s="23"/>
      <c r="D49" s="28"/>
      <c r="E49" s="23"/>
      <c r="F49" s="23"/>
      <c r="G49" s="23"/>
      <c r="H49" s="23"/>
      <c r="I49" s="23"/>
      <c r="J49" s="23"/>
      <c r="K49" s="23"/>
      <c r="L49" s="23"/>
    </row>
    <row r="50" spans="1:12" x14ac:dyDescent="0.3">
      <c r="A50" s="6">
        <v>45</v>
      </c>
      <c r="B50" s="27">
        <f>INDEX('Weekly plan'!$C:$C,MATCH(A50,'Weekly plan'!$A:$A,0))</f>
        <v>46615</v>
      </c>
      <c r="C50" s="23"/>
      <c r="D50" s="28"/>
      <c r="E50" s="23"/>
      <c r="F50" s="23"/>
      <c r="G50" s="23"/>
      <c r="H50" s="23"/>
      <c r="I50" s="23"/>
      <c r="J50" s="23"/>
      <c r="K50" s="23"/>
      <c r="L50" s="23"/>
    </row>
    <row r="51" spans="1:12" x14ac:dyDescent="0.3">
      <c r="A51" s="6">
        <v>46</v>
      </c>
      <c r="B51" s="27">
        <f>INDEX('Weekly plan'!$C:$C,MATCH(A51,'Weekly plan'!$A:$A,0))</f>
        <v>46622</v>
      </c>
      <c r="C51" s="23"/>
      <c r="D51" s="28"/>
      <c r="E51" s="23"/>
      <c r="F51" s="23"/>
      <c r="G51" s="23"/>
      <c r="H51" s="23"/>
      <c r="I51" s="23"/>
      <c r="J51" s="23"/>
      <c r="K51" s="23"/>
      <c r="L51" s="23"/>
    </row>
    <row r="52" spans="1:12" x14ac:dyDescent="0.3">
      <c r="A52" s="6">
        <v>47</v>
      </c>
      <c r="B52" s="27">
        <f>INDEX('Weekly plan'!$C:$C,MATCH(A52,'Weekly plan'!$A:$A,0))</f>
        <v>46629</v>
      </c>
      <c r="C52" s="23"/>
      <c r="D52" s="28"/>
      <c r="E52" s="23"/>
      <c r="F52" s="23"/>
      <c r="G52" s="23"/>
      <c r="H52" s="23"/>
      <c r="I52" s="23"/>
      <c r="J52" s="23"/>
      <c r="K52" s="23"/>
      <c r="L52" s="23"/>
    </row>
    <row r="53" spans="1:12" x14ac:dyDescent="0.3">
      <c r="A53" s="6">
        <v>48</v>
      </c>
      <c r="B53" s="27">
        <f>INDEX('Weekly plan'!$C:$C,MATCH(A53,'Weekly plan'!$A:$A,0))</f>
        <v>46636</v>
      </c>
      <c r="C53" s="23"/>
      <c r="D53" s="28"/>
      <c r="E53" s="23"/>
      <c r="F53" s="23"/>
      <c r="G53" s="23"/>
      <c r="H53" s="23"/>
      <c r="I53" s="23"/>
      <c r="J53" s="23"/>
      <c r="K53" s="23"/>
      <c r="L53" s="23"/>
    </row>
    <row r="54" spans="1:12" x14ac:dyDescent="0.3">
      <c r="A54" s="6">
        <v>49</v>
      </c>
      <c r="B54" s="27">
        <f>INDEX('Weekly plan'!$C:$C,MATCH(A54,'Weekly plan'!$A:$A,0))</f>
        <v>46643</v>
      </c>
      <c r="C54" s="23"/>
      <c r="D54" s="28"/>
      <c r="E54" s="23"/>
      <c r="F54" s="23"/>
      <c r="G54" s="23"/>
      <c r="H54" s="23"/>
      <c r="I54" s="23"/>
      <c r="J54" s="23"/>
      <c r="K54" s="23"/>
      <c r="L54" s="23"/>
    </row>
    <row r="55" spans="1:12" x14ac:dyDescent="0.3">
      <c r="A55" s="6">
        <v>50</v>
      </c>
      <c r="B55" s="27">
        <f>INDEX('Weekly plan'!$C:$C,MATCH(A55,'Weekly plan'!$A:$A,0))</f>
        <v>46650</v>
      </c>
      <c r="C55" s="23"/>
      <c r="D55" s="28"/>
      <c r="E55" s="23"/>
      <c r="F55" s="23"/>
      <c r="G55" s="23"/>
      <c r="H55" s="23"/>
      <c r="I55" s="23"/>
      <c r="J55" s="23"/>
      <c r="K55" s="23"/>
      <c r="L55" s="23"/>
    </row>
    <row r="56" spans="1:12" x14ac:dyDescent="0.3">
      <c r="A56" s="6">
        <v>51</v>
      </c>
      <c r="B56" s="27">
        <f>INDEX('Weekly plan'!$C:$C,MATCH(A56,'Weekly plan'!$A:$A,0))</f>
        <v>46657</v>
      </c>
      <c r="C56" s="23"/>
      <c r="D56" s="28"/>
      <c r="E56" s="23"/>
      <c r="F56" s="23"/>
      <c r="G56" s="23"/>
      <c r="H56" s="23"/>
      <c r="I56" s="23"/>
      <c r="J56" s="23"/>
      <c r="K56" s="23"/>
      <c r="L56" s="23"/>
    </row>
    <row r="57" spans="1:12" x14ac:dyDescent="0.3">
      <c r="A57" s="6">
        <v>52</v>
      </c>
      <c r="B57" s="27">
        <f>INDEX('Weekly plan'!$C:$C,MATCH(A57,'Weekly plan'!$A:$A,0))</f>
        <v>46664</v>
      </c>
      <c r="C57" s="23"/>
      <c r="D57" s="28"/>
      <c r="E57" s="23"/>
      <c r="F57" s="23"/>
      <c r="G57" s="23"/>
      <c r="H57" s="23"/>
      <c r="I57" s="23"/>
      <c r="J57" s="23"/>
      <c r="K57" s="23"/>
      <c r="L57" s="23"/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4" width="60" customWidth="1"/>
    <col min="5" max="5" width="8" customWidth="1"/>
  </cols>
  <sheetData>
    <row r="1" spans="1:5" ht="21" x14ac:dyDescent="0.4">
      <c r="A1" s="1" t="s">
        <v>16</v>
      </c>
    </row>
    <row r="2" spans="1:5" x14ac:dyDescent="0.3">
      <c r="A2" s="2" t="s">
        <v>379</v>
      </c>
    </row>
    <row r="4" spans="1:5" ht="30" customHeight="1" x14ac:dyDescent="0.3">
      <c r="A4" s="14" t="s">
        <v>36</v>
      </c>
      <c r="B4" s="14" t="s">
        <v>38</v>
      </c>
      <c r="C4" s="14" t="s">
        <v>380</v>
      </c>
      <c r="D4" s="14" t="s">
        <v>381</v>
      </c>
      <c r="E4" s="14" t="s">
        <v>49</v>
      </c>
    </row>
    <row r="5" spans="1:5" ht="26.4" x14ac:dyDescent="0.3">
      <c r="A5" s="15">
        <v>1</v>
      </c>
      <c r="B5" s="16">
        <f>INDEX('Weekly plan'!$C:$C,MATCH(A5,'Weekly plan'!$A:$A,0))</f>
        <v>46307</v>
      </c>
      <c r="C5" s="15" t="s">
        <v>382</v>
      </c>
      <c r="D5" s="15" t="s">
        <v>383</v>
      </c>
      <c r="E5" s="22"/>
    </row>
    <row r="6" spans="1:5" ht="26.4" x14ac:dyDescent="0.3">
      <c r="A6" s="15">
        <v>13</v>
      </c>
      <c r="B6" s="16">
        <f>INDEX('Weekly plan'!$C:$C,MATCH(A6,'Weekly plan'!$A:$A,0))</f>
        <v>46391</v>
      </c>
      <c r="C6" s="15" t="s">
        <v>384</v>
      </c>
      <c r="D6" s="15" t="s">
        <v>385</v>
      </c>
      <c r="E6" s="22"/>
    </row>
    <row r="7" spans="1:5" x14ac:dyDescent="0.3">
      <c r="A7" s="15">
        <v>16</v>
      </c>
      <c r="B7" s="16">
        <f>INDEX('Weekly plan'!$C:$C,MATCH(A7,'Weekly plan'!$A:$A,0))</f>
        <v>46412</v>
      </c>
      <c r="C7" s="15" t="s">
        <v>386</v>
      </c>
      <c r="D7" s="15" t="s">
        <v>387</v>
      </c>
      <c r="E7" s="22"/>
    </row>
    <row r="8" spans="1:5" x14ac:dyDescent="0.3">
      <c r="A8" s="15">
        <v>18</v>
      </c>
      <c r="B8" s="16">
        <f>INDEX('Weekly plan'!$C:$C,MATCH(A8,'Weekly plan'!$A:$A,0))</f>
        <v>46426</v>
      </c>
      <c r="C8" s="15" t="s">
        <v>388</v>
      </c>
      <c r="D8" s="15" t="s">
        <v>389</v>
      </c>
      <c r="E8" s="22"/>
    </row>
    <row r="9" spans="1:5" x14ac:dyDescent="0.3">
      <c r="A9" s="15">
        <v>20</v>
      </c>
      <c r="B9" s="16">
        <f>INDEX('Weekly plan'!$C:$C,MATCH(A9,'Weekly plan'!$A:$A,0))</f>
        <v>46440</v>
      </c>
      <c r="C9" s="15" t="s">
        <v>390</v>
      </c>
      <c r="D9" s="15" t="s">
        <v>391</v>
      </c>
      <c r="E9" s="22"/>
    </row>
    <row r="10" spans="1:5" x14ac:dyDescent="0.3">
      <c r="A10" s="15">
        <v>21</v>
      </c>
      <c r="B10" s="16">
        <f>INDEX('Weekly plan'!$C:$C,MATCH(A10,'Weekly plan'!$A:$A,0))</f>
        <v>46447</v>
      </c>
      <c r="C10" s="15" t="s">
        <v>392</v>
      </c>
      <c r="D10" s="15" t="s">
        <v>393</v>
      </c>
      <c r="E10" s="22"/>
    </row>
    <row r="11" spans="1:5" x14ac:dyDescent="0.3">
      <c r="A11" s="15">
        <v>23</v>
      </c>
      <c r="B11" s="16">
        <f>INDEX('Weekly plan'!$C:$C,MATCH(A11,'Weekly plan'!$A:$A,0))</f>
        <v>46461</v>
      </c>
      <c r="C11" s="15" t="s">
        <v>394</v>
      </c>
      <c r="D11" s="15" t="s">
        <v>395</v>
      </c>
      <c r="E11" s="22"/>
    </row>
    <row r="12" spans="1:5" ht="26.4" x14ac:dyDescent="0.3">
      <c r="A12" s="15">
        <v>27</v>
      </c>
      <c r="B12" s="16">
        <f>INDEX('Weekly plan'!$C:$C,MATCH(A12,'Weekly plan'!$A:$A,0))</f>
        <v>46489</v>
      </c>
      <c r="C12" s="15" t="s">
        <v>396</v>
      </c>
      <c r="D12" s="15" t="s">
        <v>397</v>
      </c>
      <c r="E12" s="22"/>
    </row>
  </sheetData>
  <conditionalFormatting sqref="A5:D12">
    <cfRule type="expression" dxfId="3" priority="1">
      <formula>$E5="✓"</formula>
    </cfRule>
    <cfRule type="expression" dxfId="2" priority="2">
      <formula>AND($E5&lt;&gt;"✓",$B5&lt;TODAY())</formula>
    </cfRule>
  </conditionalFormatting>
  <dataValidations count="1">
    <dataValidation type="list" allowBlank="1" showErrorMessage="1" errorTitle="Done?" error="Pick ✓ from the list, or leave the cell empty." sqref="E5:E12" xr:uid="{00000000-0002-0000-0400-000000000000}">
      <formula1>"✓"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70" customWidth="1"/>
    <col min="4" max="4" width="20" customWidth="1"/>
    <col min="5" max="5" width="8" customWidth="1"/>
  </cols>
  <sheetData>
    <row r="1" spans="1:5" ht="21" x14ac:dyDescent="0.4">
      <c r="A1" s="1" t="s">
        <v>18</v>
      </c>
    </row>
    <row r="2" spans="1:5" x14ac:dyDescent="0.3">
      <c r="A2" s="2" t="s">
        <v>398</v>
      </c>
    </row>
    <row r="4" spans="1:5" ht="30" customHeight="1" x14ac:dyDescent="0.3">
      <c r="A4" s="14" t="s">
        <v>399</v>
      </c>
      <c r="B4" s="14" t="s">
        <v>38</v>
      </c>
      <c r="C4" s="14" t="s">
        <v>400</v>
      </c>
      <c r="D4" s="14" t="s">
        <v>401</v>
      </c>
      <c r="E4" s="14" t="s">
        <v>49</v>
      </c>
    </row>
    <row r="5" spans="1:5" x14ac:dyDescent="0.3">
      <c r="A5" s="15">
        <v>1</v>
      </c>
      <c r="B5" s="16">
        <f>INDEX('Weekly plan'!$C:$C,MATCH(A5,'Weekly plan'!$A:$A,0))</f>
        <v>46307</v>
      </c>
      <c r="C5" s="15" t="s">
        <v>402</v>
      </c>
      <c r="D5" s="15" t="s">
        <v>403</v>
      </c>
      <c r="E5" s="22"/>
    </row>
    <row r="6" spans="1:5" x14ac:dyDescent="0.3">
      <c r="A6" s="15">
        <v>12</v>
      </c>
      <c r="B6" s="16">
        <f>INDEX('Weekly plan'!$C:$C,MATCH(A6,'Weekly plan'!$A:$A,0))</f>
        <v>46384</v>
      </c>
      <c r="C6" s="15" t="s">
        <v>404</v>
      </c>
      <c r="D6" s="15" t="s">
        <v>405</v>
      </c>
      <c r="E6" s="22"/>
    </row>
    <row r="7" spans="1:5" x14ac:dyDescent="0.3">
      <c r="A7" s="15">
        <v>14</v>
      </c>
      <c r="B7" s="16">
        <f>INDEX('Weekly plan'!$C:$C,MATCH(A7,'Weekly plan'!$A:$A,0))</f>
        <v>46398</v>
      </c>
      <c r="C7" s="15" t="s">
        <v>406</v>
      </c>
      <c r="D7" s="15" t="s">
        <v>403</v>
      </c>
      <c r="E7" s="22"/>
    </row>
    <row r="8" spans="1:5" x14ac:dyDescent="0.3">
      <c r="A8" s="15">
        <v>16</v>
      </c>
      <c r="B8" s="16">
        <f>INDEX('Weekly plan'!$C:$C,MATCH(A8,'Weekly plan'!$A:$A,0))</f>
        <v>46412</v>
      </c>
      <c r="C8" s="15" t="s">
        <v>407</v>
      </c>
      <c r="D8" s="15" t="s">
        <v>403</v>
      </c>
      <c r="E8" s="22"/>
    </row>
    <row r="9" spans="1:5" x14ac:dyDescent="0.3">
      <c r="A9" s="15">
        <v>20</v>
      </c>
      <c r="B9" s="16">
        <f>INDEX('Weekly plan'!$C:$C,MATCH(A9,'Weekly plan'!$A:$A,0))</f>
        <v>46440</v>
      </c>
      <c r="C9" s="15" t="s">
        <v>408</v>
      </c>
      <c r="D9" s="15" t="s">
        <v>403</v>
      </c>
      <c r="E9" s="22"/>
    </row>
    <row r="10" spans="1:5" x14ac:dyDescent="0.3">
      <c r="A10" s="15">
        <v>21</v>
      </c>
      <c r="B10" s="16">
        <f>INDEX('Weekly plan'!$C:$C,MATCH(A10,'Weekly plan'!$A:$A,0))</f>
        <v>46447</v>
      </c>
      <c r="C10" s="15" t="s">
        <v>409</v>
      </c>
      <c r="D10" s="15" t="s">
        <v>403</v>
      </c>
      <c r="E10" s="22"/>
    </row>
    <row r="11" spans="1:5" x14ac:dyDescent="0.3">
      <c r="A11" s="15">
        <v>22</v>
      </c>
      <c r="B11" s="16">
        <f>INDEX('Weekly plan'!$C:$C,MATCH(A11,'Weekly plan'!$A:$A,0))</f>
        <v>46454</v>
      </c>
      <c r="C11" s="15" t="s">
        <v>410</v>
      </c>
      <c r="D11" s="15" t="s">
        <v>403</v>
      </c>
      <c r="E11" s="22"/>
    </row>
    <row r="12" spans="1:5" x14ac:dyDescent="0.3">
      <c r="A12" s="15">
        <v>23</v>
      </c>
      <c r="B12" s="16">
        <f>INDEX('Weekly plan'!$C:$C,MATCH(A12,'Weekly plan'!$A:$A,0))</f>
        <v>46461</v>
      </c>
      <c r="C12" s="15" t="s">
        <v>411</v>
      </c>
      <c r="D12" s="15" t="s">
        <v>405</v>
      </c>
      <c r="E12" s="22"/>
    </row>
    <row r="13" spans="1:5" x14ac:dyDescent="0.3">
      <c r="A13" s="15">
        <v>23</v>
      </c>
      <c r="B13" s="16">
        <f>INDEX('Weekly plan'!$C:$C,MATCH(A13,'Weekly plan'!$A:$A,0))</f>
        <v>46461</v>
      </c>
      <c r="C13" s="15" t="s">
        <v>412</v>
      </c>
      <c r="D13" s="15" t="s">
        <v>304</v>
      </c>
      <c r="E13" s="22"/>
    </row>
  </sheetData>
  <conditionalFormatting sqref="A5:D13">
    <cfRule type="expression" dxfId="1" priority="1">
      <formula>$E5="✓"</formula>
    </cfRule>
    <cfRule type="expression" dxfId="0" priority="2">
      <formula>AND($E5&lt;&gt;"✓",$B5&lt;TODAY())</formula>
    </cfRule>
  </conditionalFormatting>
  <dataValidations count="1">
    <dataValidation type="list" allowBlank="1" showErrorMessage="1" errorTitle="Done?" error="Pick ✓ from the list, or leave the cell empty." sqref="E5:E13" xr:uid="{00000000-0002-0000-0500-000000000000}">
      <formula1>"✓"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80" customWidth="1"/>
    <col min="4" max="4" width="11" customWidth="1"/>
    <col min="5" max="5" width="13" customWidth="1"/>
  </cols>
  <sheetData>
    <row r="1" spans="1:5" ht="21" x14ac:dyDescent="0.4">
      <c r="A1" s="1" t="s">
        <v>20</v>
      </c>
    </row>
    <row r="2" spans="1:5" x14ac:dyDescent="0.3">
      <c r="A2" s="2" t="s">
        <v>413</v>
      </c>
    </row>
    <row r="4" spans="1:5" ht="30" customHeight="1" x14ac:dyDescent="0.3">
      <c r="A4" s="14" t="s">
        <v>414</v>
      </c>
      <c r="B4" s="14" t="s">
        <v>415</v>
      </c>
      <c r="C4" s="14" t="s">
        <v>416</v>
      </c>
      <c r="D4" s="14" t="s">
        <v>417</v>
      </c>
      <c r="E4" s="14" t="s">
        <v>418</v>
      </c>
    </row>
    <row r="5" spans="1:5" x14ac:dyDescent="0.3">
      <c r="A5" s="15">
        <v>1</v>
      </c>
      <c r="B5" s="15" t="s">
        <v>419</v>
      </c>
      <c r="C5" s="15" t="s">
        <v>420</v>
      </c>
      <c r="D5" s="15">
        <v>5</v>
      </c>
      <c r="E5" s="23"/>
    </row>
    <row r="6" spans="1:5" x14ac:dyDescent="0.3">
      <c r="A6" s="15">
        <v>2</v>
      </c>
      <c r="B6" s="15" t="s">
        <v>419</v>
      </c>
      <c r="C6" s="15" t="s">
        <v>421</v>
      </c>
      <c r="D6" s="15">
        <v>5</v>
      </c>
      <c r="E6" s="23"/>
    </row>
    <row r="7" spans="1:5" x14ac:dyDescent="0.3">
      <c r="A7" s="15">
        <v>3</v>
      </c>
      <c r="B7" s="15" t="s">
        <v>419</v>
      </c>
      <c r="C7" s="15" t="s">
        <v>422</v>
      </c>
      <c r="D7" s="15">
        <v>5</v>
      </c>
      <c r="E7" s="23"/>
    </row>
    <row r="8" spans="1:5" x14ac:dyDescent="0.3">
      <c r="A8" s="15">
        <v>4</v>
      </c>
      <c r="B8" s="15" t="s">
        <v>419</v>
      </c>
      <c r="C8" s="15" t="s">
        <v>423</v>
      </c>
      <c r="D8" s="15">
        <v>5</v>
      </c>
      <c r="E8" s="23"/>
    </row>
    <row r="9" spans="1:5" x14ac:dyDescent="0.3">
      <c r="A9" s="15">
        <v>5</v>
      </c>
      <c r="B9" s="15" t="s">
        <v>419</v>
      </c>
      <c r="C9" s="15" t="s">
        <v>424</v>
      </c>
      <c r="D9" s="15">
        <v>5</v>
      </c>
      <c r="E9" s="23"/>
    </row>
    <row r="10" spans="1:5" x14ac:dyDescent="0.3">
      <c r="A10" s="15">
        <v>6</v>
      </c>
      <c r="B10" s="15" t="s">
        <v>419</v>
      </c>
      <c r="C10" s="15" t="s">
        <v>425</v>
      </c>
      <c r="D10" s="15">
        <v>5</v>
      </c>
      <c r="E10" s="23"/>
    </row>
    <row r="11" spans="1:5" x14ac:dyDescent="0.3">
      <c r="A11" s="15">
        <v>7</v>
      </c>
      <c r="B11" s="15" t="s">
        <v>419</v>
      </c>
      <c r="C11" s="15" t="s">
        <v>426</v>
      </c>
      <c r="D11" s="15">
        <v>5</v>
      </c>
      <c r="E11" s="23"/>
    </row>
    <row r="12" spans="1:5" x14ac:dyDescent="0.3">
      <c r="A12" s="15">
        <v>8</v>
      </c>
      <c r="B12" s="15" t="s">
        <v>419</v>
      </c>
      <c r="C12" s="15" t="s">
        <v>427</v>
      </c>
      <c r="D12" s="15">
        <v>5</v>
      </c>
      <c r="E12" s="23"/>
    </row>
    <row r="13" spans="1:5" x14ac:dyDescent="0.3">
      <c r="A13" s="15">
        <v>9</v>
      </c>
      <c r="B13" s="15" t="s">
        <v>419</v>
      </c>
      <c r="C13" s="15" t="s">
        <v>428</v>
      </c>
      <c r="D13" s="15">
        <v>5</v>
      </c>
      <c r="E13" s="23"/>
    </row>
    <row r="14" spans="1:5" x14ac:dyDescent="0.3">
      <c r="A14" s="15">
        <v>10</v>
      </c>
      <c r="B14" s="15" t="s">
        <v>419</v>
      </c>
      <c r="C14" s="15" t="s">
        <v>429</v>
      </c>
      <c r="D14" s="15">
        <v>5</v>
      </c>
      <c r="E14" s="23"/>
    </row>
    <row r="15" spans="1:5" x14ac:dyDescent="0.3">
      <c r="A15" s="15">
        <v>11</v>
      </c>
      <c r="B15" s="15" t="s">
        <v>430</v>
      </c>
      <c r="C15" s="15" t="s">
        <v>431</v>
      </c>
      <c r="D15" s="15">
        <v>9</v>
      </c>
      <c r="E15" s="23"/>
    </row>
    <row r="16" spans="1:5" x14ac:dyDescent="0.3">
      <c r="A16" s="15">
        <v>12</v>
      </c>
      <c r="B16" s="15" t="s">
        <v>430</v>
      </c>
      <c r="C16" s="15" t="s">
        <v>432</v>
      </c>
      <c r="D16" s="15">
        <v>9</v>
      </c>
      <c r="E16" s="23"/>
    </row>
    <row r="17" spans="1:5" x14ac:dyDescent="0.3">
      <c r="A17" s="15">
        <v>13</v>
      </c>
      <c r="B17" s="15" t="s">
        <v>430</v>
      </c>
      <c r="C17" s="15" t="s">
        <v>433</v>
      </c>
      <c r="D17" s="15">
        <v>9</v>
      </c>
      <c r="E17" s="23"/>
    </row>
    <row r="18" spans="1:5" x14ac:dyDescent="0.3">
      <c r="A18" s="15">
        <v>14</v>
      </c>
      <c r="B18" s="15" t="s">
        <v>430</v>
      </c>
      <c r="C18" s="15" t="s">
        <v>434</v>
      </c>
      <c r="D18" s="15">
        <v>10</v>
      </c>
      <c r="E18" s="23"/>
    </row>
    <row r="19" spans="1:5" x14ac:dyDescent="0.3">
      <c r="A19" s="15">
        <v>15</v>
      </c>
      <c r="B19" s="15" t="s">
        <v>435</v>
      </c>
      <c r="C19" s="15" t="s">
        <v>436</v>
      </c>
      <c r="D19" s="15">
        <v>21</v>
      </c>
      <c r="E19" s="23"/>
    </row>
    <row r="20" spans="1:5" x14ac:dyDescent="0.3">
      <c r="A20" s="15">
        <v>16</v>
      </c>
      <c r="B20" s="15" t="s">
        <v>435</v>
      </c>
      <c r="C20" s="15" t="s">
        <v>437</v>
      </c>
      <c r="D20" s="15">
        <v>21</v>
      </c>
      <c r="E20" s="23"/>
    </row>
    <row r="21" spans="1:5" x14ac:dyDescent="0.3">
      <c r="A21" s="15">
        <v>17</v>
      </c>
      <c r="B21" s="15" t="s">
        <v>435</v>
      </c>
      <c r="C21" s="15" t="s">
        <v>438</v>
      </c>
      <c r="D21" s="15">
        <v>33</v>
      </c>
      <c r="E21" s="23"/>
    </row>
    <row r="22" spans="1:5" x14ac:dyDescent="0.3">
      <c r="A22" s="15">
        <v>18</v>
      </c>
      <c r="B22" s="15" t="s">
        <v>435</v>
      </c>
      <c r="C22" s="15" t="s">
        <v>439</v>
      </c>
      <c r="D22" s="15">
        <v>28</v>
      </c>
      <c r="E22" s="23"/>
    </row>
    <row r="23" spans="1:5" x14ac:dyDescent="0.3">
      <c r="A23" s="15">
        <v>19</v>
      </c>
      <c r="B23" s="15" t="s">
        <v>440</v>
      </c>
      <c r="C23" s="15" t="s">
        <v>441</v>
      </c>
      <c r="D23" s="15">
        <v>13</v>
      </c>
      <c r="E23" s="23"/>
    </row>
    <row r="24" spans="1:5" x14ac:dyDescent="0.3">
      <c r="A24" s="15">
        <v>20</v>
      </c>
      <c r="B24" s="15" t="s">
        <v>440</v>
      </c>
      <c r="C24" s="15" t="s">
        <v>442</v>
      </c>
      <c r="D24" s="15">
        <v>13</v>
      </c>
      <c r="E24" s="23"/>
    </row>
    <row r="25" spans="1:5" x14ac:dyDescent="0.3">
      <c r="A25" s="15">
        <v>21</v>
      </c>
      <c r="B25" s="15" t="s">
        <v>440</v>
      </c>
      <c r="C25" s="15" t="s">
        <v>443</v>
      </c>
      <c r="D25" s="15">
        <v>17</v>
      </c>
      <c r="E25" s="23"/>
    </row>
    <row r="26" spans="1:5" x14ac:dyDescent="0.3">
      <c r="A26" s="15">
        <v>22</v>
      </c>
      <c r="B26" s="15" t="s">
        <v>440</v>
      </c>
      <c r="C26" s="15" t="s">
        <v>444</v>
      </c>
      <c r="D26" s="15">
        <v>31</v>
      </c>
      <c r="E26" s="23"/>
    </row>
    <row r="27" spans="1:5" x14ac:dyDescent="0.3">
      <c r="A27" s="15">
        <v>23</v>
      </c>
      <c r="B27" s="15" t="s">
        <v>445</v>
      </c>
      <c r="C27" s="15" t="s">
        <v>446</v>
      </c>
      <c r="D27" s="15">
        <v>23</v>
      </c>
      <c r="E27" s="23"/>
    </row>
    <row r="28" spans="1:5" x14ac:dyDescent="0.3">
      <c r="A28" s="15">
        <v>24</v>
      </c>
      <c r="B28" s="15" t="s">
        <v>445</v>
      </c>
      <c r="C28" s="15" t="s">
        <v>447</v>
      </c>
      <c r="D28" s="15">
        <v>27</v>
      </c>
      <c r="E28" s="23"/>
    </row>
    <row r="29" spans="1:5" x14ac:dyDescent="0.3">
      <c r="A29" s="15">
        <v>25</v>
      </c>
      <c r="B29" s="15" t="s">
        <v>445</v>
      </c>
      <c r="C29" s="15" t="s">
        <v>448</v>
      </c>
      <c r="D29" s="15">
        <v>26</v>
      </c>
      <c r="E29" s="23"/>
    </row>
    <row r="30" spans="1:5" x14ac:dyDescent="0.3">
      <c r="A30" s="15">
        <v>26</v>
      </c>
      <c r="B30" s="15" t="s">
        <v>445</v>
      </c>
      <c r="C30" s="15" t="s">
        <v>449</v>
      </c>
      <c r="D30" s="15">
        <v>29</v>
      </c>
      <c r="E30" s="23"/>
    </row>
  </sheetData>
  <dataValidations count="1">
    <dataValidation type="whole" allowBlank="1" showErrorMessage="1" error="A week number from 1 to 52." sqref="E5:E30" xr:uid="{00000000-0002-0000-0600-000000000000}">
      <formula1>1</formula1>
      <formula2>52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/>
  </sheetViews>
  <sheetFormatPr defaultRowHeight="14.4" x14ac:dyDescent="0.3"/>
  <cols>
    <col min="1" max="1" width="14" customWidth="1"/>
    <col min="2" max="2" width="70" customWidth="1"/>
    <col min="3" max="3" width="12" customWidth="1"/>
  </cols>
  <sheetData>
    <row r="1" spans="1:3" ht="21" x14ac:dyDescent="0.4">
      <c r="A1" s="1" t="s">
        <v>450</v>
      </c>
    </row>
    <row r="2" spans="1:3" x14ac:dyDescent="0.3">
      <c r="A2" s="2" t="s">
        <v>451</v>
      </c>
    </row>
    <row r="4" spans="1:3" ht="24" customHeight="1" x14ac:dyDescent="0.3">
      <c r="A4" s="14" t="s">
        <v>452</v>
      </c>
      <c r="B4" s="14" t="s">
        <v>227</v>
      </c>
      <c r="C4" s="14" t="s">
        <v>453</v>
      </c>
    </row>
    <row r="5" spans="1:3" x14ac:dyDescent="0.3">
      <c r="A5" s="15" t="s">
        <v>454</v>
      </c>
      <c r="B5" s="15" t="s">
        <v>455</v>
      </c>
      <c r="C5" s="15" t="s">
        <v>456</v>
      </c>
    </row>
    <row r="6" spans="1:3" x14ac:dyDescent="0.3">
      <c r="A6" s="15" t="s">
        <v>457</v>
      </c>
      <c r="B6" s="15" t="s">
        <v>458</v>
      </c>
      <c r="C6" s="15" t="s">
        <v>459</v>
      </c>
    </row>
    <row r="7" spans="1:3" x14ac:dyDescent="0.3">
      <c r="A7" s="15" t="s">
        <v>460</v>
      </c>
      <c r="B7" s="15" t="s">
        <v>461</v>
      </c>
      <c r="C7" s="15" t="s">
        <v>456</v>
      </c>
    </row>
    <row r="8" spans="1:3" x14ac:dyDescent="0.3">
      <c r="A8" s="15" t="s">
        <v>462</v>
      </c>
      <c r="B8" s="15" t="s">
        <v>463</v>
      </c>
      <c r="C8" s="15" t="s">
        <v>464</v>
      </c>
    </row>
    <row r="9" spans="1:3" x14ac:dyDescent="0.3">
      <c r="A9" s="15" t="s">
        <v>465</v>
      </c>
      <c r="B9" s="15" t="s">
        <v>466</v>
      </c>
      <c r="C9" s="15" t="s">
        <v>464</v>
      </c>
    </row>
    <row r="10" spans="1:3" x14ac:dyDescent="0.3">
      <c r="A10" s="15" t="s">
        <v>467</v>
      </c>
      <c r="B10" s="15" t="s">
        <v>468</v>
      </c>
      <c r="C10" s="15" t="s">
        <v>469</v>
      </c>
    </row>
    <row r="13" spans="1:3" ht="15.6" x14ac:dyDescent="0.3">
      <c r="A13" s="3" t="s">
        <v>470</v>
      </c>
    </row>
    <row r="14" spans="1:3" x14ac:dyDescent="0.3">
      <c r="A14" s="4" t="s">
        <v>471</v>
      </c>
      <c r="B14" s="4" t="s">
        <v>472</v>
      </c>
    </row>
    <row r="15" spans="1:3" x14ac:dyDescent="0.3">
      <c r="A15" s="4" t="s">
        <v>471</v>
      </c>
      <c r="B15" s="4" t="s">
        <v>473</v>
      </c>
    </row>
    <row r="16" spans="1:3" x14ac:dyDescent="0.3">
      <c r="A16" s="4" t="s">
        <v>471</v>
      </c>
      <c r="B16" s="4" t="s">
        <v>474</v>
      </c>
    </row>
    <row r="17" spans="1:2" x14ac:dyDescent="0.3">
      <c r="A17" s="4" t="s">
        <v>471</v>
      </c>
      <c r="B17" s="4" t="s">
        <v>475</v>
      </c>
    </row>
    <row r="18" spans="1:2" x14ac:dyDescent="0.3">
      <c r="A18" s="4" t="s">
        <v>471</v>
      </c>
      <c r="B18" s="4" t="s">
        <v>476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Weekly plan</vt:lpstr>
      <vt:lpstr>Tasks</vt:lpstr>
      <vt:lpstr>Weekly numbers</vt:lpstr>
      <vt:lpstr>Website steps</vt:lpstr>
      <vt:lpstr>Deadlines</vt:lpstr>
      <vt:lpstr>Content bank</vt:lpstr>
      <vt:lpstr>Routine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2026-10-07T05:48:58Z</dcterms:created>
  <dcterms:modified xsi:type="dcterms:W3CDTF">2026-10-07T05:50:49Z</dcterms:modified>
  <cp:category/>
</cp:coreProperties>
</file>